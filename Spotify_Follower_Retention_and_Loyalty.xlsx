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excel project\"/>
    </mc:Choice>
  </mc:AlternateContent>
  <xr:revisionPtr revIDLastSave="0" documentId="13_ncr:1_{646EB54A-AE72-4753-9B49-B0696B4B44A6}" xr6:coauthVersionLast="47" xr6:coauthVersionMax="47" xr10:uidLastSave="{00000000-0000-0000-0000-000000000000}"/>
  <bookViews>
    <workbookView xWindow="-108" yWindow="-108" windowWidth="23256" windowHeight="12456" activeTab="2" xr2:uid="{845FE509-F1DE-4FA8-8655-381E36D9B0BD}"/>
  </bookViews>
  <sheets>
    <sheet name="weekly_net_gain" sheetId="1" r:id="rId1"/>
    <sheet name="Moving average chart" sheetId="2" r:id="rId2"/>
    <sheet name="Correlation ana;ysis" sheetId="3" r:id="rId3"/>
  </sheets>
  <calcPr calcId="191029"/>
  <pivotCaches>
    <pivotCache cacheId="8" r:id="rId4"/>
    <pivotCache cacheId="9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3" l="1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3" i="3"/>
  <c r="H201" i="3"/>
  <c r="H200" i="3"/>
  <c r="H199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</calcChain>
</file>

<file path=xl/sharedStrings.xml><?xml version="1.0" encoding="utf-8"?>
<sst xmlns="http://schemas.openxmlformats.org/spreadsheetml/2006/main" count="636" uniqueCount="20">
  <si>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</si>
  <si>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</si>
  <si>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</si>
  <si>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</si>
  <si>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</si>
  <si>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</si>
  <si>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</si>
  <si>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Instagram</t>
  </si>
  <si>
    <t>Twitter</t>
  </si>
  <si>
    <t>YouTube</t>
  </si>
  <si>
    <t>Row Labels</t>
  </si>
  <si>
    <t>Grand Total</t>
  </si>
  <si>
    <t>Net_Gain</t>
  </si>
  <si>
    <t>Sum of Net_Gain</t>
  </si>
  <si>
    <t>Moving_Average</t>
  </si>
  <si>
    <t>Average of Total_Followers</t>
  </si>
  <si>
    <t>Sum of Ad_Spend</t>
  </si>
  <si>
    <t>Net_Growth</t>
  </si>
  <si>
    <t>Sum of Net_Growth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</si>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</sst>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theme="9" tint="-0.49998474074526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9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4" fillId="2" borderId="0" xfId="0" applyNumberFormat="1" applyFont="1" applyFill="1"/>
    <xf numFmtId="49" fontId="4" fillId="2" borderId="0" xfId="0" applyNumberFormat="1" applyFont="1" applyFill="1"/>
    <xf numFmtId="1" fontId="4" fillId="2" borderId="0" xfId="1" applyNumberFormat="1" applyFont="1" applyFill="1"/>
    <xf numFmtId="1" fontId="4" fillId="2" borderId="0" xfId="0" applyNumberFormat="1" applyFont="1" applyFill="1"/>
    <xf numFmtId="2" fontId="4" fillId="2" borderId="0" xfId="0" applyNumberFormat="1" applyFont="1" applyFill="1"/>
    <xf numFmtId="0" fontId="0" fillId="0" borderId="0" xfId="0" pivotButton="1"/>
    <xf numFmtId="14" fontId="0" fillId="0" borderId="0" xfId="0" applyNumberFormat="1" applyAlignment="1">
      <alignment horizontal="left"/>
    </xf>
    <xf numFmtId="1" fontId="0" fillId="0" borderId="0" xfId="0" applyNumberFormat="1"/>
    <xf numFmtId="0" fontId="2" fillId="3" borderId="1" xfId="0" applyFont="1" applyFill="1" applyBorder="1"/>
    <xf numFmtId="14" fontId="5" fillId="5" borderId="0" xfId="0" applyNumberFormat="1" applyFont="1" applyFill="1" applyAlignment="1">
      <alignment horizontal="right"/>
    </xf>
    <xf numFmtId="49" fontId="5" fillId="5" borderId="0" xfId="0" applyNumberFormat="1" applyFont="1" applyFill="1"/>
    <xf numFmtId="1" fontId="5" fillId="5" borderId="0" xfId="1" applyNumberFormat="1" applyFont="1" applyFill="1" applyAlignment="1">
      <alignment horizontal="right"/>
    </xf>
    <xf numFmtId="1" fontId="5" fillId="5" borderId="0" xfId="0" applyNumberFormat="1" applyFont="1" applyFill="1" applyAlignment="1">
      <alignment horizontal="right"/>
    </xf>
    <xf numFmtId="2" fontId="5" fillId="5" borderId="0" xfId="0" applyNumberFormat="1" applyFont="1" applyFill="1" applyAlignment="1">
      <alignment horizontal="right"/>
    </xf>
    <xf numFmtId="1" fontId="3" fillId="5" borderId="0" xfId="0" applyNumberFormat="1" applyFont="1" applyFill="1"/>
    <xf numFmtId="1" fontId="0" fillId="4" borderId="2" xfId="0" applyNumberFormat="1" applyFill="1" applyBorder="1"/>
    <xf numFmtId="164" fontId="0" fillId="5" borderId="0" xfId="0" applyNumberFormat="1" applyFill="1"/>
    <xf numFmtId="0" fontId="0" fillId="5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6.xlsx]weekly_net_gain!PivotTable15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Net_Follower_Gain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weekly_net_gain!$L$2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weekly_net_gain!$K$3:$K$70</c:f>
              <c:strCache>
                <c:ptCount val="67"/>
                <c:pt idx="0">
                  <c:v>04-11-2024</c:v>
                </c:pt>
                <c:pt idx="1">
                  <c:v>19-05-2025</c:v>
                </c:pt>
                <c:pt idx="2">
                  <c:v>03-06-2024</c:v>
                </c:pt>
                <c:pt idx="3">
                  <c:v>07-04-2025</c:v>
                </c:pt>
                <c:pt idx="4">
                  <c:v>28-07-2025</c:v>
                </c:pt>
                <c:pt idx="5">
                  <c:v>14-04-2025</c:v>
                </c:pt>
                <c:pt idx="6">
                  <c:v>17-06-2024</c:v>
                </c:pt>
                <c:pt idx="7">
                  <c:v>08-07-2024</c:v>
                </c:pt>
                <c:pt idx="8">
                  <c:v>30-09-2024</c:v>
                </c:pt>
                <c:pt idx="9">
                  <c:v>12-08-2024</c:v>
                </c:pt>
                <c:pt idx="10">
                  <c:v>26-05-2025</c:v>
                </c:pt>
                <c:pt idx="11">
                  <c:v>11-11-2024</c:v>
                </c:pt>
                <c:pt idx="12">
                  <c:v>21-10-2024</c:v>
                </c:pt>
                <c:pt idx="13">
                  <c:v>23-09-2024</c:v>
                </c:pt>
                <c:pt idx="14">
                  <c:v>31-03-2025</c:v>
                </c:pt>
                <c:pt idx="15">
                  <c:v>10-06-2024</c:v>
                </c:pt>
                <c:pt idx="16">
                  <c:v>03-03-2025</c:v>
                </c:pt>
                <c:pt idx="17">
                  <c:v>21-07-2025</c:v>
                </c:pt>
                <c:pt idx="18">
                  <c:v>05-08-2024</c:v>
                </c:pt>
                <c:pt idx="19">
                  <c:v>16-12-2024</c:v>
                </c:pt>
                <c:pt idx="20">
                  <c:v>24-03-2025</c:v>
                </c:pt>
                <c:pt idx="21">
                  <c:v>14-10-2024</c:v>
                </c:pt>
                <c:pt idx="22">
                  <c:v>07-07-2025</c:v>
                </c:pt>
                <c:pt idx="23">
                  <c:v>14-07-2025</c:v>
                </c:pt>
                <c:pt idx="24">
                  <c:v>25-08-2025</c:v>
                </c:pt>
                <c:pt idx="25">
                  <c:v>09-09-2024</c:v>
                </c:pt>
                <c:pt idx="26">
                  <c:v>23-12-2024</c:v>
                </c:pt>
                <c:pt idx="27">
                  <c:v>02-09-2024</c:v>
                </c:pt>
                <c:pt idx="28">
                  <c:v>06-01-2025</c:v>
                </c:pt>
                <c:pt idx="29">
                  <c:v>26-08-2024</c:v>
                </c:pt>
                <c:pt idx="30">
                  <c:v>24-06-2024</c:v>
                </c:pt>
                <c:pt idx="31">
                  <c:v>01-07-2024</c:v>
                </c:pt>
                <c:pt idx="32">
                  <c:v>02-12-2024</c:v>
                </c:pt>
                <c:pt idx="33">
                  <c:v>28-04-2025</c:v>
                </c:pt>
                <c:pt idx="34">
                  <c:v>15-07-2024</c:v>
                </c:pt>
                <c:pt idx="35">
                  <c:v>10-02-2025</c:v>
                </c:pt>
                <c:pt idx="36">
                  <c:v>11-08-2025</c:v>
                </c:pt>
                <c:pt idx="37">
                  <c:v>13-01-2025</c:v>
                </c:pt>
                <c:pt idx="38">
                  <c:v>07-10-2024</c:v>
                </c:pt>
                <c:pt idx="39">
                  <c:v>30-12-2024</c:v>
                </c:pt>
                <c:pt idx="40">
                  <c:v>10-03-2025</c:v>
                </c:pt>
                <c:pt idx="41">
                  <c:v>30-06-2025</c:v>
                </c:pt>
                <c:pt idx="42">
                  <c:v>19-08-2024</c:v>
                </c:pt>
                <c:pt idx="43">
                  <c:v>25-11-2024</c:v>
                </c:pt>
                <c:pt idx="44">
                  <c:v>22-07-2024</c:v>
                </c:pt>
                <c:pt idx="45">
                  <c:v>09-06-2025</c:v>
                </c:pt>
                <c:pt idx="46">
                  <c:v>17-03-2025</c:v>
                </c:pt>
                <c:pt idx="47">
                  <c:v>28-10-2024</c:v>
                </c:pt>
                <c:pt idx="48">
                  <c:v>16-09-2024</c:v>
                </c:pt>
                <c:pt idx="49">
                  <c:v>29-07-2024</c:v>
                </c:pt>
                <c:pt idx="50">
                  <c:v>05-05-2025</c:v>
                </c:pt>
                <c:pt idx="51">
                  <c:v>02-06-2025</c:v>
                </c:pt>
                <c:pt idx="52">
                  <c:v>16-06-2025</c:v>
                </c:pt>
                <c:pt idx="53">
                  <c:v>18-11-2024</c:v>
                </c:pt>
                <c:pt idx="54">
                  <c:v>27-01-2025</c:v>
                </c:pt>
                <c:pt idx="55">
                  <c:v>20-01-2025</c:v>
                </c:pt>
                <c:pt idx="56">
                  <c:v>18-08-2025</c:v>
                </c:pt>
                <c:pt idx="57">
                  <c:v>21-04-2025</c:v>
                </c:pt>
                <c:pt idx="58">
                  <c:v>24-02-2025</c:v>
                </c:pt>
                <c:pt idx="59">
                  <c:v>04-08-2025</c:v>
                </c:pt>
                <c:pt idx="60">
                  <c:v>03-02-2025</c:v>
                </c:pt>
                <c:pt idx="61">
                  <c:v>17-02-2025</c:v>
                </c:pt>
                <c:pt idx="62">
                  <c:v>08-09-2025</c:v>
                </c:pt>
                <c:pt idx="63">
                  <c:v>01-09-2025</c:v>
                </c:pt>
                <c:pt idx="64">
                  <c:v>12-05-2025</c:v>
                </c:pt>
                <c:pt idx="65">
                  <c:v>09-12-2024</c:v>
                </c:pt>
                <c:pt idx="66">
                  <c:v>23-06-2025</c:v>
                </c:pt>
              </c:strCache>
            </c:strRef>
          </c:cat>
          <c:val>
            <c:numRef>
              <c:f>weekly_net_gain!$L$3:$L$70</c:f>
              <c:numCache>
                <c:formatCode>0</c:formatCode>
                <c:ptCount val="67"/>
                <c:pt idx="0">
                  <c:v>3576</c:v>
                </c:pt>
                <c:pt idx="1">
                  <c:v>3569</c:v>
                </c:pt>
                <c:pt idx="2">
                  <c:v>3419</c:v>
                </c:pt>
                <c:pt idx="3">
                  <c:v>3291</c:v>
                </c:pt>
                <c:pt idx="4">
                  <c:v>3236</c:v>
                </c:pt>
                <c:pt idx="5">
                  <c:v>3216</c:v>
                </c:pt>
                <c:pt idx="6">
                  <c:v>3175</c:v>
                </c:pt>
                <c:pt idx="7">
                  <c:v>3155</c:v>
                </c:pt>
                <c:pt idx="8">
                  <c:v>3151</c:v>
                </c:pt>
                <c:pt idx="9">
                  <c:v>3072</c:v>
                </c:pt>
                <c:pt idx="10">
                  <c:v>2909</c:v>
                </c:pt>
                <c:pt idx="11">
                  <c:v>2794</c:v>
                </c:pt>
                <c:pt idx="12">
                  <c:v>2792</c:v>
                </c:pt>
                <c:pt idx="13">
                  <c:v>2785</c:v>
                </c:pt>
                <c:pt idx="14">
                  <c:v>2781</c:v>
                </c:pt>
                <c:pt idx="15">
                  <c:v>2777</c:v>
                </c:pt>
                <c:pt idx="16">
                  <c:v>2763</c:v>
                </c:pt>
                <c:pt idx="17">
                  <c:v>2694</c:v>
                </c:pt>
                <c:pt idx="18">
                  <c:v>2693</c:v>
                </c:pt>
                <c:pt idx="19">
                  <c:v>2693</c:v>
                </c:pt>
                <c:pt idx="20">
                  <c:v>2679</c:v>
                </c:pt>
                <c:pt idx="21">
                  <c:v>2670</c:v>
                </c:pt>
                <c:pt idx="22">
                  <c:v>2669</c:v>
                </c:pt>
                <c:pt idx="23">
                  <c:v>2654</c:v>
                </c:pt>
                <c:pt idx="24">
                  <c:v>2646</c:v>
                </c:pt>
                <c:pt idx="25">
                  <c:v>2630</c:v>
                </c:pt>
                <c:pt idx="26">
                  <c:v>2550</c:v>
                </c:pt>
                <c:pt idx="27">
                  <c:v>2502</c:v>
                </c:pt>
                <c:pt idx="28">
                  <c:v>2451</c:v>
                </c:pt>
                <c:pt idx="29">
                  <c:v>2450</c:v>
                </c:pt>
                <c:pt idx="30">
                  <c:v>2433</c:v>
                </c:pt>
                <c:pt idx="31">
                  <c:v>2426</c:v>
                </c:pt>
                <c:pt idx="32">
                  <c:v>2383</c:v>
                </c:pt>
                <c:pt idx="33">
                  <c:v>2378</c:v>
                </c:pt>
                <c:pt idx="34">
                  <c:v>2369</c:v>
                </c:pt>
                <c:pt idx="35">
                  <c:v>2361</c:v>
                </c:pt>
                <c:pt idx="36">
                  <c:v>2347</c:v>
                </c:pt>
                <c:pt idx="37">
                  <c:v>2341</c:v>
                </c:pt>
                <c:pt idx="38">
                  <c:v>2338</c:v>
                </c:pt>
                <c:pt idx="39">
                  <c:v>2337</c:v>
                </c:pt>
                <c:pt idx="40">
                  <c:v>2315</c:v>
                </c:pt>
                <c:pt idx="41">
                  <c:v>2315</c:v>
                </c:pt>
                <c:pt idx="42">
                  <c:v>2300</c:v>
                </c:pt>
                <c:pt idx="43">
                  <c:v>2287</c:v>
                </c:pt>
                <c:pt idx="44">
                  <c:v>2281</c:v>
                </c:pt>
                <c:pt idx="45">
                  <c:v>2243</c:v>
                </c:pt>
                <c:pt idx="46">
                  <c:v>2188</c:v>
                </c:pt>
                <c:pt idx="47">
                  <c:v>2181</c:v>
                </c:pt>
                <c:pt idx="48">
                  <c:v>2162</c:v>
                </c:pt>
                <c:pt idx="49">
                  <c:v>2132</c:v>
                </c:pt>
                <c:pt idx="50">
                  <c:v>2054</c:v>
                </c:pt>
                <c:pt idx="51">
                  <c:v>2049</c:v>
                </c:pt>
                <c:pt idx="52">
                  <c:v>2017</c:v>
                </c:pt>
                <c:pt idx="53">
                  <c:v>1935</c:v>
                </c:pt>
                <c:pt idx="54">
                  <c:v>1928</c:v>
                </c:pt>
                <c:pt idx="55">
                  <c:v>1832</c:v>
                </c:pt>
                <c:pt idx="56">
                  <c:v>1819</c:v>
                </c:pt>
                <c:pt idx="57">
                  <c:v>1728</c:v>
                </c:pt>
                <c:pt idx="58">
                  <c:v>1713</c:v>
                </c:pt>
                <c:pt idx="59">
                  <c:v>1689</c:v>
                </c:pt>
                <c:pt idx="60">
                  <c:v>1680</c:v>
                </c:pt>
                <c:pt idx="61">
                  <c:v>1543</c:v>
                </c:pt>
                <c:pt idx="62">
                  <c:v>1436</c:v>
                </c:pt>
                <c:pt idx="63">
                  <c:v>1424</c:v>
                </c:pt>
                <c:pt idx="64">
                  <c:v>1400</c:v>
                </c:pt>
                <c:pt idx="65">
                  <c:v>1398</c:v>
                </c:pt>
                <c:pt idx="66">
                  <c:v>1384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8-47BD-A0E2-621C4D22E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650431"/>
        <c:axId val="259637471"/>
      </c:lineChart>
      <c:catAx>
        <c:axId val="259650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Week_Start_date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37471"/>
        <c:crosses val="autoZero"/>
        <c:auto val="1"/>
        <c:lblAlgn val="ctr"/>
        <c:lblOffset val="100"/>
        <c:noMultiLvlLbl val="0"/>
      </c:catAx>
      <c:valAx>
        <c:axId val="25963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Net_Gain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5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6.xlsx]Moving average chart!PivotTable16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/>
              <a:t>Follower Growth Trend with 3-Week Moving Average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'Moving average chart'!$K$2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22225" cap="rnd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  <c:trendlineType val="movingAvg"/>
            <c:period val="3"/>
            <c:dispRSqr val="0"/>
            <c:dispEq val="0"/>
          </c:trendline>
          <c:cat>
            <c:strRef>
              <c:f>'Moving average chart'!$J$3:$J$70</c:f>
              <c:strCache>
                <c:ptCount val="67"/>
                <c:pt idx="0">
                  <c:v>03-06-2024</c:v>
                </c:pt>
                <c:pt idx="1">
                  <c:v>10-06-2024</c:v>
                </c:pt>
                <c:pt idx="2">
                  <c:v>17-06-2024</c:v>
                </c:pt>
                <c:pt idx="3">
                  <c:v>24-06-2024</c:v>
                </c:pt>
                <c:pt idx="4">
                  <c:v>01-07-2024</c:v>
                </c:pt>
                <c:pt idx="5">
                  <c:v>08-07-2024</c:v>
                </c:pt>
                <c:pt idx="6">
                  <c:v>15-07-2024</c:v>
                </c:pt>
                <c:pt idx="7">
                  <c:v>22-07-2024</c:v>
                </c:pt>
                <c:pt idx="8">
                  <c:v>29-07-2024</c:v>
                </c:pt>
                <c:pt idx="9">
                  <c:v>05-08-2024</c:v>
                </c:pt>
                <c:pt idx="10">
                  <c:v>12-08-2024</c:v>
                </c:pt>
                <c:pt idx="11">
                  <c:v>19-08-2024</c:v>
                </c:pt>
                <c:pt idx="12">
                  <c:v>26-08-2024</c:v>
                </c:pt>
                <c:pt idx="13">
                  <c:v>02-09-2024</c:v>
                </c:pt>
                <c:pt idx="14">
                  <c:v>09-09-2024</c:v>
                </c:pt>
                <c:pt idx="15">
                  <c:v>16-09-2024</c:v>
                </c:pt>
                <c:pt idx="16">
                  <c:v>23-09-2024</c:v>
                </c:pt>
                <c:pt idx="17">
                  <c:v>30-09-2024</c:v>
                </c:pt>
                <c:pt idx="18">
                  <c:v>07-10-2024</c:v>
                </c:pt>
                <c:pt idx="19">
                  <c:v>14-10-2024</c:v>
                </c:pt>
                <c:pt idx="20">
                  <c:v>21-10-2024</c:v>
                </c:pt>
                <c:pt idx="21">
                  <c:v>28-10-2024</c:v>
                </c:pt>
                <c:pt idx="22">
                  <c:v>04-11-2024</c:v>
                </c:pt>
                <c:pt idx="23">
                  <c:v>11-11-2024</c:v>
                </c:pt>
                <c:pt idx="24">
                  <c:v>18-11-2024</c:v>
                </c:pt>
                <c:pt idx="25">
                  <c:v>25-11-2024</c:v>
                </c:pt>
                <c:pt idx="26">
                  <c:v>02-12-2024</c:v>
                </c:pt>
                <c:pt idx="27">
                  <c:v>09-12-2024</c:v>
                </c:pt>
                <c:pt idx="28">
                  <c:v>16-12-2024</c:v>
                </c:pt>
                <c:pt idx="29">
                  <c:v>23-12-2024</c:v>
                </c:pt>
                <c:pt idx="30">
                  <c:v>30-12-2024</c:v>
                </c:pt>
                <c:pt idx="31">
                  <c:v>06-01-2025</c:v>
                </c:pt>
                <c:pt idx="32">
                  <c:v>13-01-2025</c:v>
                </c:pt>
                <c:pt idx="33">
                  <c:v>20-01-2025</c:v>
                </c:pt>
                <c:pt idx="34">
                  <c:v>27-01-2025</c:v>
                </c:pt>
                <c:pt idx="35">
                  <c:v>03-02-2025</c:v>
                </c:pt>
                <c:pt idx="36">
                  <c:v>10-02-2025</c:v>
                </c:pt>
                <c:pt idx="37">
                  <c:v>17-02-2025</c:v>
                </c:pt>
                <c:pt idx="38">
                  <c:v>24-02-2025</c:v>
                </c:pt>
                <c:pt idx="39">
                  <c:v>03-03-2025</c:v>
                </c:pt>
                <c:pt idx="40">
                  <c:v>10-03-2025</c:v>
                </c:pt>
                <c:pt idx="41">
                  <c:v>17-03-2025</c:v>
                </c:pt>
                <c:pt idx="42">
                  <c:v>24-03-2025</c:v>
                </c:pt>
                <c:pt idx="43">
                  <c:v>31-03-2025</c:v>
                </c:pt>
                <c:pt idx="44">
                  <c:v>07-04-2025</c:v>
                </c:pt>
                <c:pt idx="45">
                  <c:v>14-04-2025</c:v>
                </c:pt>
                <c:pt idx="46">
                  <c:v>21-04-2025</c:v>
                </c:pt>
                <c:pt idx="47">
                  <c:v>28-04-2025</c:v>
                </c:pt>
                <c:pt idx="48">
                  <c:v>05-05-2025</c:v>
                </c:pt>
                <c:pt idx="49">
                  <c:v>12-05-2025</c:v>
                </c:pt>
                <c:pt idx="50">
                  <c:v>19-05-2025</c:v>
                </c:pt>
                <c:pt idx="51">
                  <c:v>26-05-2025</c:v>
                </c:pt>
                <c:pt idx="52">
                  <c:v>02-06-2025</c:v>
                </c:pt>
                <c:pt idx="53">
                  <c:v>09-06-2025</c:v>
                </c:pt>
                <c:pt idx="54">
                  <c:v>16-06-2025</c:v>
                </c:pt>
                <c:pt idx="55">
                  <c:v>23-06-2025</c:v>
                </c:pt>
                <c:pt idx="56">
                  <c:v>30-06-2025</c:v>
                </c:pt>
                <c:pt idx="57">
                  <c:v>07-07-2025</c:v>
                </c:pt>
                <c:pt idx="58">
                  <c:v>14-07-2025</c:v>
                </c:pt>
                <c:pt idx="59">
                  <c:v>21-07-2025</c:v>
                </c:pt>
                <c:pt idx="60">
                  <c:v>28-07-2025</c:v>
                </c:pt>
                <c:pt idx="61">
                  <c:v>04-08-2025</c:v>
                </c:pt>
                <c:pt idx="62">
                  <c:v>11-08-2025</c:v>
                </c:pt>
                <c:pt idx="63">
                  <c:v>18-08-2025</c:v>
                </c:pt>
                <c:pt idx="64">
                  <c:v>25-08-2025</c:v>
                </c:pt>
                <c:pt idx="65">
                  <c:v>01-09-2025</c:v>
                </c:pt>
                <c:pt idx="66">
                  <c:v>08-09-2025</c:v>
                </c:pt>
              </c:strCache>
            </c:strRef>
          </c:cat>
          <c:val>
            <c:numRef>
              <c:f>'Moving average chart'!$K$3:$K$70</c:f>
              <c:numCache>
                <c:formatCode>0</c:formatCode>
                <c:ptCount val="67"/>
                <c:pt idx="0">
                  <c:v>240920.66666666666</c:v>
                </c:pt>
                <c:pt idx="1">
                  <c:v>270999</c:v>
                </c:pt>
                <c:pt idx="2">
                  <c:v>197420</c:v>
                </c:pt>
                <c:pt idx="3">
                  <c:v>113940.33333333333</c:v>
                </c:pt>
                <c:pt idx="4">
                  <c:v>232413.33333333334</c:v>
                </c:pt>
                <c:pt idx="5">
                  <c:v>203372.66666666666</c:v>
                </c:pt>
                <c:pt idx="6">
                  <c:v>213438.33333333334</c:v>
                </c:pt>
                <c:pt idx="7">
                  <c:v>283692.33333333331</c:v>
                </c:pt>
                <c:pt idx="8">
                  <c:v>269319.66666666669</c:v>
                </c:pt>
                <c:pt idx="9">
                  <c:v>217163.33333333334</c:v>
                </c:pt>
                <c:pt idx="10">
                  <c:v>153650.33333333334</c:v>
                </c:pt>
                <c:pt idx="11">
                  <c:v>193339.33333333334</c:v>
                </c:pt>
                <c:pt idx="12">
                  <c:v>233959</c:v>
                </c:pt>
                <c:pt idx="13">
                  <c:v>350777.33333333331</c:v>
                </c:pt>
                <c:pt idx="14">
                  <c:v>316146.33333333331</c:v>
                </c:pt>
                <c:pt idx="15">
                  <c:v>265682.66666666669</c:v>
                </c:pt>
                <c:pt idx="16">
                  <c:v>262652.33333333331</c:v>
                </c:pt>
                <c:pt idx="17">
                  <c:v>304438</c:v>
                </c:pt>
                <c:pt idx="18">
                  <c:v>220926</c:v>
                </c:pt>
                <c:pt idx="19">
                  <c:v>268519.33333333331</c:v>
                </c:pt>
                <c:pt idx="20">
                  <c:v>125975.33333333333</c:v>
                </c:pt>
                <c:pt idx="21">
                  <c:v>250027.66666666666</c:v>
                </c:pt>
                <c:pt idx="22">
                  <c:v>266132.66666666669</c:v>
                </c:pt>
                <c:pt idx="23">
                  <c:v>245409.66666666666</c:v>
                </c:pt>
                <c:pt idx="24">
                  <c:v>231601.66666666666</c:v>
                </c:pt>
                <c:pt idx="25">
                  <c:v>236932</c:v>
                </c:pt>
                <c:pt idx="26">
                  <c:v>211352.33333333334</c:v>
                </c:pt>
                <c:pt idx="27">
                  <c:v>190102.33333333334</c:v>
                </c:pt>
                <c:pt idx="28">
                  <c:v>160800.66666666666</c:v>
                </c:pt>
                <c:pt idx="29">
                  <c:v>206753.66666666666</c:v>
                </c:pt>
                <c:pt idx="30">
                  <c:v>245714.66666666666</c:v>
                </c:pt>
                <c:pt idx="31">
                  <c:v>184530.33333333334</c:v>
                </c:pt>
                <c:pt idx="32">
                  <c:v>285425.66666666669</c:v>
                </c:pt>
                <c:pt idx="33">
                  <c:v>311070.33333333331</c:v>
                </c:pt>
                <c:pt idx="34">
                  <c:v>243701.66666666666</c:v>
                </c:pt>
                <c:pt idx="35">
                  <c:v>250567</c:v>
                </c:pt>
                <c:pt idx="36">
                  <c:v>187913.33333333334</c:v>
                </c:pt>
                <c:pt idx="37">
                  <c:v>237547</c:v>
                </c:pt>
                <c:pt idx="38">
                  <c:v>294644</c:v>
                </c:pt>
                <c:pt idx="39">
                  <c:v>172835</c:v>
                </c:pt>
                <c:pt idx="40">
                  <c:v>276944.66666666669</c:v>
                </c:pt>
                <c:pt idx="41">
                  <c:v>301735.66666666669</c:v>
                </c:pt>
                <c:pt idx="42">
                  <c:v>235671.66666666666</c:v>
                </c:pt>
                <c:pt idx="43">
                  <c:v>149491</c:v>
                </c:pt>
                <c:pt idx="44">
                  <c:v>311937.33333333331</c:v>
                </c:pt>
                <c:pt idx="45">
                  <c:v>272574.66666666669</c:v>
                </c:pt>
                <c:pt idx="46">
                  <c:v>310965.66666666669</c:v>
                </c:pt>
                <c:pt idx="47">
                  <c:v>273642.33333333331</c:v>
                </c:pt>
                <c:pt idx="48">
                  <c:v>283575</c:v>
                </c:pt>
                <c:pt idx="49">
                  <c:v>262429</c:v>
                </c:pt>
                <c:pt idx="50">
                  <c:v>205031</c:v>
                </c:pt>
                <c:pt idx="51">
                  <c:v>309644</c:v>
                </c:pt>
                <c:pt idx="52">
                  <c:v>172496.66666666666</c:v>
                </c:pt>
                <c:pt idx="53">
                  <c:v>217961.33333333334</c:v>
                </c:pt>
                <c:pt idx="54">
                  <c:v>176377.66666666666</c:v>
                </c:pt>
                <c:pt idx="55">
                  <c:v>230622.33333333334</c:v>
                </c:pt>
                <c:pt idx="56">
                  <c:v>136875.66666666666</c:v>
                </c:pt>
                <c:pt idx="57">
                  <c:v>296434</c:v>
                </c:pt>
                <c:pt idx="58">
                  <c:v>257441</c:v>
                </c:pt>
                <c:pt idx="59">
                  <c:v>222614.66666666666</c:v>
                </c:pt>
                <c:pt idx="60">
                  <c:v>106452.33333333333</c:v>
                </c:pt>
                <c:pt idx="61">
                  <c:v>162584.66666666666</c:v>
                </c:pt>
                <c:pt idx="62">
                  <c:v>190147</c:v>
                </c:pt>
                <c:pt idx="63">
                  <c:v>221387.33333333334</c:v>
                </c:pt>
                <c:pt idx="64">
                  <c:v>194770</c:v>
                </c:pt>
                <c:pt idx="65">
                  <c:v>222787</c:v>
                </c:pt>
                <c:pt idx="66">
                  <c:v>219302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87A-4421-B53A-CF28F9F274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8552671"/>
        <c:axId val="328553631"/>
      </c:lineChart>
      <c:catAx>
        <c:axId val="32855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53631"/>
        <c:crosses val="autoZero"/>
        <c:auto val="1"/>
        <c:lblAlgn val="ctr"/>
        <c:lblOffset val="100"/>
        <c:noMultiLvlLbl val="0"/>
      </c:catAx>
      <c:valAx>
        <c:axId val="328553631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5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</xdr:colOff>
      <xdr:row>1</xdr:row>
      <xdr:rowOff>15240</xdr:rowOff>
    </xdr:from>
    <xdr:to>
      <xdr:col>21</xdr:col>
      <xdr:colOff>0</xdr:colOff>
      <xdr:row>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6CEF12-76BA-F888-7175-534BE794AB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19</xdr:row>
      <xdr:rowOff>0</xdr:rowOff>
    </xdr:from>
    <xdr:to>
      <xdr:col>21</xdr:col>
      <xdr:colOff>7620</xdr:colOff>
      <xdr:row>21</xdr:row>
      <xdr:rowOff>175260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51653A1-2788-9E0D-1153-BE45E7D6A3CF}"/>
            </a:ext>
          </a:extLst>
        </xdr:cNvPr>
        <xdr:cNvSpPr txBox="1"/>
      </xdr:nvSpPr>
      <xdr:spPr>
        <a:xfrm>
          <a:off x="10073640" y="3474720"/>
          <a:ext cx="4404360" cy="54102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/>
            <a:t>So, according to the analysis</a:t>
          </a:r>
          <a:r>
            <a:rPr lang="en-IN" sz="1100" b="1" baseline="0"/>
            <a:t> it is clearly visible that November !st week has the highest net follower gain.</a:t>
          </a:r>
          <a:endParaRPr lang="en-IN" sz="1100" b="1"/>
        </a:p>
      </xdr:txBody>
    </xdr:sp>
    <xdr:clientData/>
  </xdr:twoCellAnchor>
  <xdr:twoCellAnchor>
    <xdr:from>
      <xdr:col>22</xdr:col>
      <xdr:colOff>299357</xdr:colOff>
      <xdr:row>4</xdr:row>
      <xdr:rowOff>54429</xdr:rowOff>
    </xdr:from>
    <xdr:to>
      <xdr:col>29</xdr:col>
      <xdr:colOff>117929</xdr:colOff>
      <xdr:row>18</xdr:row>
      <xdr:rowOff>90715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8780701-747C-7AE0-5E41-5455FCAB47F1}"/>
            </a:ext>
          </a:extLst>
        </xdr:cNvPr>
        <xdr:cNvSpPr txBox="1"/>
      </xdr:nvSpPr>
      <xdr:spPr>
        <a:xfrm>
          <a:off x="15348857" y="780143"/>
          <a:ext cx="4073072" cy="257628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Task 6: Follower Retention &amp; Loyalty (16 Marks)</a:t>
          </a:r>
        </a:p>
        <a:p>
          <a:r>
            <a:rPr lang="en-IN"/>
            <a:t> ● Identify week with highest net follower gain </a:t>
          </a:r>
        </a:p>
        <a:p>
          <a:r>
            <a:rPr lang="en-IN"/>
            <a:t>● Moving average chart to analyze follower trends </a:t>
          </a:r>
        </a:p>
        <a:p>
          <a:r>
            <a:rPr lang="en-IN"/>
            <a:t>● Correlation between Ad Spend vs. Follower Growth/App Downloads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259080</xdr:colOff>
      <xdr:row>1</xdr:row>
      <xdr:rowOff>0</xdr:rowOff>
    </xdr:from>
    <xdr:to>
      <xdr:col>21</xdr:col>
      <xdr:colOff>274320</xdr:colOff>
      <xdr:row>18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1426E-165A-C42A-3821-86139978D8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</xdr:colOff>
      <xdr:row>3</xdr:row>
      <xdr:rowOff>38100</xdr:rowOff>
    </xdr:from>
    <xdr:to>
      <xdr:col>18</xdr:col>
      <xdr:colOff>350520</xdr:colOff>
      <xdr:row>9</xdr:row>
      <xdr:rowOff>30480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ABEA62-3A72-F08C-1014-219424A44EC9}"/>
            </a:ext>
          </a:extLst>
        </xdr:cNvPr>
        <xdr:cNvSpPr txBox="1"/>
      </xdr:nvSpPr>
      <xdr:spPr>
        <a:xfrm>
          <a:off x="11346180" y="586740"/>
          <a:ext cx="2766060" cy="108966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200" b="1"/>
            <a:t>Higher ad spend is associated with increased follower growth, indicating effective campaign investment.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071.011216435189" createdVersion="8" refreshedVersion="8" minRefreshableVersion="3" recordCount="200" xr:uid="{1EA048ED-E12C-4555-BE2B-17D4EEAEED52}">
  <cacheSource type="worksheet">
    <worksheetSource ref="A1:H201" sheet="weekly_net_gain"/>
  </cacheSource>
  <cacheFields count="11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0"/>
    </cacheField>
    <cacheField name="Platform" numFmtId="49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Net_Gain" numFmtId="1">
      <sharedItems containsSemiMixedTypes="0" containsString="0" containsNumber="1" containsInteger="1" minValue="250" maxValue="1397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071.028725810182" createdVersion="8" refreshedVersion="8" minRefreshableVersion="3" recordCount="200" xr:uid="{55CBE7C0-1E08-43B7-B741-F1C0E88D7ECA}">
  <cacheSource type="worksheet">
    <worksheetSource ref="A1:H201" sheet="Moving average chart"/>
  </cacheSource>
  <cacheFields count="11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0"/>
    </cacheField>
    <cacheField name="Platform" numFmtId="49">
      <sharedItems count="3">
        <s v="Instagram"/>
        <s v="Twitter"/>
        <s v="YouTube"/>
      </sharedItems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Net_Gain" numFmtId="1">
      <sharedItems containsSemiMixedTypes="0" containsString="0" containsNumber="1" containsInteger="1" minValue="250" maxValue="1397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" refreshedDate="46071.05649328704" createdVersion="8" refreshedVersion="8" minRefreshableVersion="3" recordCount="200" xr:uid="{C2330F4A-758E-4F88-BDAE-35F6E8675DA3}">
  <cacheSource type="worksheet">
    <worksheetSource ref="A1:H201" sheet="Correlation ana;ysis"/>
  </cacheSource>
  <cacheFields count="11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0"/>
    </cacheField>
    <cacheField name="Platform" numFmtId="49">
      <sharedItems/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Net_Growth" numFmtId="1">
      <sharedItems containsSemiMixedTypes="0" containsString="0" containsNumber="1" containsInteger="1" minValue="250" maxValue="1397"/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  <n v="1334"/>
  </r>
  <r>
    <x v="0"/>
    <x v="1"/>
    <n v="995"/>
    <n v="86"/>
    <n v="227958"/>
    <n v="8.0500000000000007"/>
    <n v="22788"/>
    <n v="909"/>
  </r>
  <r>
    <x v="0"/>
    <x v="2"/>
    <n v="1472"/>
    <n v="296"/>
    <n v="370242"/>
    <n v="7.72"/>
    <n v="7810"/>
    <n v="1176"/>
  </r>
  <r>
    <x v="1"/>
    <x v="0"/>
    <n v="1018"/>
    <n v="90"/>
    <n v="92474"/>
    <n v="9.4"/>
    <n v="11966"/>
    <n v="928"/>
  </r>
  <r>
    <x v="1"/>
    <x v="1"/>
    <n v="1461"/>
    <n v="64"/>
    <n v="328902"/>
    <n v="9.02"/>
    <n v="26298"/>
    <n v="1397"/>
  </r>
  <r>
    <x v="1"/>
    <x v="2"/>
    <n v="545"/>
    <n v="93"/>
    <n v="391621"/>
    <n v="9.9600000000000009"/>
    <n v="22029"/>
    <n v="452"/>
  </r>
  <r>
    <x v="2"/>
    <x v="0"/>
    <n v="881"/>
    <n v="291"/>
    <n v="95885"/>
    <n v="5.29"/>
    <n v="12391"/>
    <n v="590"/>
  </r>
  <r>
    <x v="2"/>
    <x v="1"/>
    <n v="1414"/>
    <n v="131"/>
    <n v="245947"/>
    <n v="8.3000000000000007"/>
    <n v="14477"/>
    <n v="1283"/>
  </r>
  <r>
    <x v="2"/>
    <x v="2"/>
    <n v="1472"/>
    <n v="170"/>
    <n v="250428"/>
    <n v="4.66"/>
    <n v="25040"/>
    <n v="1302"/>
  </r>
  <r>
    <x v="3"/>
    <x v="0"/>
    <n v="809"/>
    <n v="197"/>
    <n v="87186"/>
    <n v="9.48"/>
    <n v="22619"/>
    <n v="612"/>
  </r>
  <r>
    <x v="3"/>
    <x v="1"/>
    <n v="1371"/>
    <n v="250"/>
    <n v="128620"/>
    <n v="7.11"/>
    <n v="12399"/>
    <n v="1121"/>
  </r>
  <r>
    <x v="3"/>
    <x v="2"/>
    <n v="844"/>
    <n v="144"/>
    <n v="126015"/>
    <n v="9.65"/>
    <n v="22456"/>
    <n v="700"/>
  </r>
  <r>
    <x v="4"/>
    <x v="0"/>
    <n v="786"/>
    <n v="72"/>
    <n v="178615"/>
    <n v="5.43"/>
    <n v="19328"/>
    <n v="714"/>
  </r>
  <r>
    <x v="4"/>
    <x v="1"/>
    <n v="845"/>
    <n v="250"/>
    <n v="218228"/>
    <n v="4.5199999999999996"/>
    <n v="21107"/>
    <n v="595"/>
  </r>
  <r>
    <x v="4"/>
    <x v="2"/>
    <n v="1218"/>
    <n v="101"/>
    <n v="300397"/>
    <n v="4.33"/>
    <n v="12277"/>
    <n v="1117"/>
  </r>
  <r>
    <x v="5"/>
    <x v="0"/>
    <n v="797"/>
    <n v="130"/>
    <n v="340121"/>
    <n v="8.52"/>
    <n v="11684"/>
    <n v="667"/>
  </r>
  <r>
    <x v="5"/>
    <x v="1"/>
    <n v="1471"/>
    <n v="100"/>
    <n v="76866"/>
    <n v="8.5500000000000007"/>
    <n v="14412"/>
    <n v="1371"/>
  </r>
  <r>
    <x v="5"/>
    <x v="2"/>
    <n v="1253"/>
    <n v="136"/>
    <n v="193131"/>
    <n v="7.99"/>
    <n v="15924"/>
    <n v="1117"/>
  </r>
  <r>
    <x v="6"/>
    <x v="0"/>
    <n v="616"/>
    <n v="257"/>
    <n v="169665"/>
    <n v="6.31"/>
    <n v="12390"/>
    <n v="359"/>
  </r>
  <r>
    <x v="6"/>
    <x v="1"/>
    <n v="1308"/>
    <n v="210"/>
    <n v="263729"/>
    <n v="8.5299999999999994"/>
    <n v="25742"/>
    <n v="1098"/>
  </r>
  <r>
    <x v="6"/>
    <x v="2"/>
    <n v="981"/>
    <n v="69"/>
    <n v="206921"/>
    <n v="8.42"/>
    <n v="10495"/>
    <n v="912"/>
  </r>
  <r>
    <x v="7"/>
    <x v="0"/>
    <n v="866"/>
    <n v="74"/>
    <n v="204121"/>
    <n v="9.34"/>
    <n v="7797"/>
    <n v="792"/>
  </r>
  <r>
    <x v="7"/>
    <x v="1"/>
    <n v="547"/>
    <n v="183"/>
    <n v="266350"/>
    <n v="5.65"/>
    <n v="15595"/>
    <n v="364"/>
  </r>
  <r>
    <x v="7"/>
    <x v="2"/>
    <n v="1241"/>
    <n v="116"/>
    <n v="380606"/>
    <n v="4.2"/>
    <n v="24617"/>
    <n v="1125"/>
  </r>
  <r>
    <x v="8"/>
    <x v="0"/>
    <n v="973"/>
    <n v="104"/>
    <n v="376358"/>
    <n v="3.87"/>
    <n v="9847"/>
    <n v="869"/>
  </r>
  <r>
    <x v="8"/>
    <x v="1"/>
    <n v="611"/>
    <n v="197"/>
    <n v="79423"/>
    <n v="5.82"/>
    <n v="13644"/>
    <n v="414"/>
  </r>
  <r>
    <x v="8"/>
    <x v="2"/>
    <n v="983"/>
    <n v="134"/>
    <n v="352178"/>
    <n v="3.55"/>
    <n v="11421"/>
    <n v="849"/>
  </r>
  <r>
    <x v="9"/>
    <x v="0"/>
    <n v="1449"/>
    <n v="96"/>
    <n v="200636"/>
    <n v="9.92"/>
    <n v="15613"/>
    <n v="1353"/>
  </r>
  <r>
    <x v="9"/>
    <x v="1"/>
    <n v="752"/>
    <n v="170"/>
    <n v="132756"/>
    <n v="8.17"/>
    <n v="23900"/>
    <n v="582"/>
  </r>
  <r>
    <x v="9"/>
    <x v="2"/>
    <n v="937"/>
    <n v="179"/>
    <n v="318098"/>
    <n v="5.3"/>
    <n v="5836"/>
    <n v="758"/>
  </r>
  <r>
    <x v="10"/>
    <x v="0"/>
    <n v="1060"/>
    <n v="83"/>
    <n v="68724"/>
    <n v="5.98"/>
    <n v="5624"/>
    <n v="977"/>
  </r>
  <r>
    <x v="10"/>
    <x v="1"/>
    <n v="1456"/>
    <n v="265"/>
    <n v="115505"/>
    <n v="7.49"/>
    <n v="10311"/>
    <n v="1191"/>
  </r>
  <r>
    <x v="10"/>
    <x v="2"/>
    <n v="1109"/>
    <n v="205"/>
    <n v="276722"/>
    <n v="9.3800000000000008"/>
    <n v="8274"/>
    <n v="904"/>
  </r>
  <r>
    <x v="11"/>
    <x v="0"/>
    <n v="1002"/>
    <n v="93"/>
    <n v="353538"/>
    <n v="5.84"/>
    <n v="6031"/>
    <n v="909"/>
  </r>
  <r>
    <x v="11"/>
    <x v="1"/>
    <n v="571"/>
    <n v="189"/>
    <n v="61445"/>
    <n v="5.41"/>
    <n v="27829"/>
    <n v="382"/>
  </r>
  <r>
    <x v="11"/>
    <x v="2"/>
    <n v="1240"/>
    <n v="231"/>
    <n v="165035"/>
    <n v="6.05"/>
    <n v="18267"/>
    <n v="1009"/>
  </r>
  <r>
    <x v="12"/>
    <x v="0"/>
    <n v="1154"/>
    <n v="132"/>
    <n v="194595"/>
    <n v="7.54"/>
    <n v="26624"/>
    <n v="1022"/>
  </r>
  <r>
    <x v="12"/>
    <x v="1"/>
    <n v="537"/>
    <n v="275"/>
    <n v="236238"/>
    <n v="5.87"/>
    <n v="26644"/>
    <n v="262"/>
  </r>
  <r>
    <x v="12"/>
    <x v="2"/>
    <n v="1456"/>
    <n v="290"/>
    <n v="271044"/>
    <n v="7.17"/>
    <n v="13051"/>
    <n v="1166"/>
  </r>
  <r>
    <x v="13"/>
    <x v="0"/>
    <n v="721"/>
    <n v="206"/>
    <n v="334887"/>
    <n v="6.05"/>
    <n v="14217"/>
    <n v="515"/>
  </r>
  <r>
    <x v="13"/>
    <x v="1"/>
    <n v="1098"/>
    <n v="142"/>
    <n v="359150"/>
    <n v="7.51"/>
    <n v="16385"/>
    <n v="956"/>
  </r>
  <r>
    <x v="13"/>
    <x v="2"/>
    <n v="1096"/>
    <n v="65"/>
    <n v="358295"/>
    <n v="7.66"/>
    <n v="24548"/>
    <n v="1031"/>
  </r>
  <r>
    <x v="14"/>
    <x v="0"/>
    <n v="912"/>
    <n v="275"/>
    <n v="368454"/>
    <n v="6.03"/>
    <n v="9195"/>
    <n v="637"/>
  </r>
  <r>
    <x v="14"/>
    <x v="1"/>
    <n v="1430"/>
    <n v="162"/>
    <n v="269082"/>
    <n v="3.4"/>
    <n v="18071"/>
    <n v="1268"/>
  </r>
  <r>
    <x v="14"/>
    <x v="2"/>
    <n v="854"/>
    <n v="129"/>
    <n v="310903"/>
    <n v="7.83"/>
    <n v="16875"/>
    <n v="725"/>
  </r>
  <r>
    <x v="15"/>
    <x v="0"/>
    <n v="681"/>
    <n v="210"/>
    <n v="248581"/>
    <n v="8.76"/>
    <n v="9567"/>
    <n v="471"/>
  </r>
  <r>
    <x v="15"/>
    <x v="1"/>
    <n v="1373"/>
    <n v="82"/>
    <n v="371015"/>
    <n v="9.52"/>
    <n v="20306"/>
    <n v="1291"/>
  </r>
  <r>
    <x v="15"/>
    <x v="2"/>
    <n v="685"/>
    <n v="285"/>
    <n v="177452"/>
    <n v="3.36"/>
    <n v="21134"/>
    <n v="400"/>
  </r>
  <r>
    <x v="16"/>
    <x v="0"/>
    <n v="1290"/>
    <n v="177"/>
    <n v="80745"/>
    <n v="9.2200000000000006"/>
    <n v="26872"/>
    <n v="1113"/>
  </r>
  <r>
    <x v="16"/>
    <x v="1"/>
    <n v="1437"/>
    <n v="239"/>
    <n v="362441"/>
    <n v="5.57"/>
    <n v="10253"/>
    <n v="1198"/>
  </r>
  <r>
    <x v="16"/>
    <x v="2"/>
    <n v="769"/>
    <n v="295"/>
    <n v="344771"/>
    <n v="8.06"/>
    <n v="23963"/>
    <n v="474"/>
  </r>
  <r>
    <x v="17"/>
    <x v="0"/>
    <n v="1416"/>
    <n v="284"/>
    <n v="374952"/>
    <n v="3.45"/>
    <n v="11335"/>
    <n v="1132"/>
  </r>
  <r>
    <x v="17"/>
    <x v="1"/>
    <n v="998"/>
    <n v="154"/>
    <n v="179781"/>
    <n v="9.58"/>
    <n v="12115"/>
    <n v="844"/>
  </r>
  <r>
    <x v="17"/>
    <x v="2"/>
    <n v="1421"/>
    <n v="246"/>
    <n v="358581"/>
    <n v="8.8800000000000008"/>
    <n v="24358"/>
    <n v="1175"/>
  </r>
  <r>
    <x v="18"/>
    <x v="0"/>
    <n v="764"/>
    <n v="205"/>
    <n v="319294"/>
    <n v="6.23"/>
    <n v="12181"/>
    <n v="559"/>
  </r>
  <r>
    <x v="18"/>
    <x v="1"/>
    <n v="678"/>
    <n v="124"/>
    <n v="192022"/>
    <n v="8.4499999999999993"/>
    <n v="17729"/>
    <n v="554"/>
  </r>
  <r>
    <x v="18"/>
    <x v="2"/>
    <n v="1328"/>
    <n v="103"/>
    <n v="151462"/>
    <n v="8.4"/>
    <n v="10881"/>
    <n v="1225"/>
  </r>
  <r>
    <x v="19"/>
    <x v="0"/>
    <n v="1161"/>
    <n v="269"/>
    <n v="188193"/>
    <n v="7.34"/>
    <n v="18576"/>
    <n v="892"/>
  </r>
  <r>
    <x v="19"/>
    <x v="1"/>
    <n v="588"/>
    <n v="52"/>
    <n v="292040"/>
    <n v="8.14"/>
    <n v="9383"/>
    <n v="536"/>
  </r>
  <r>
    <x v="19"/>
    <x v="2"/>
    <n v="1457"/>
    <n v="215"/>
    <n v="325325"/>
    <n v="9.58"/>
    <n v="14178"/>
    <n v="1242"/>
  </r>
  <r>
    <x v="20"/>
    <x v="0"/>
    <n v="1190"/>
    <n v="242"/>
    <n v="86849"/>
    <n v="8.06"/>
    <n v="21254"/>
    <n v="948"/>
  </r>
  <r>
    <x v="20"/>
    <x v="1"/>
    <n v="886"/>
    <n v="124"/>
    <n v="141161"/>
    <n v="8.19"/>
    <n v="14215"/>
    <n v="762"/>
  </r>
  <r>
    <x v="20"/>
    <x v="2"/>
    <n v="1237"/>
    <n v="155"/>
    <n v="149916"/>
    <n v="4.4800000000000004"/>
    <n v="16921"/>
    <n v="1082"/>
  </r>
  <r>
    <x v="21"/>
    <x v="0"/>
    <n v="1435"/>
    <n v="261"/>
    <n v="308533"/>
    <n v="4.5199999999999996"/>
    <n v="25130"/>
    <n v="1174"/>
  </r>
  <r>
    <x v="21"/>
    <x v="1"/>
    <n v="746"/>
    <n v="282"/>
    <n v="293894"/>
    <n v="5.42"/>
    <n v="25537"/>
    <n v="464"/>
  </r>
  <r>
    <x v="21"/>
    <x v="2"/>
    <n v="759"/>
    <n v="216"/>
    <n v="147656"/>
    <n v="4.08"/>
    <n v="24943"/>
    <n v="543"/>
  </r>
  <r>
    <x v="22"/>
    <x v="0"/>
    <n v="1437"/>
    <n v="235"/>
    <n v="326791"/>
    <n v="4.0599999999999996"/>
    <n v="14563"/>
    <n v="1202"/>
  </r>
  <r>
    <x v="22"/>
    <x v="1"/>
    <n v="1463"/>
    <n v="73"/>
    <n v="348877"/>
    <n v="9.91"/>
    <n v="26273"/>
    <n v="1390"/>
  </r>
  <r>
    <x v="22"/>
    <x v="2"/>
    <n v="1208"/>
    <n v="224"/>
    <n v="122730"/>
    <n v="8.7200000000000006"/>
    <n v="10858"/>
    <n v="984"/>
  </r>
  <r>
    <x v="23"/>
    <x v="0"/>
    <n v="1391"/>
    <n v="187"/>
    <n v="306508"/>
    <n v="8.3800000000000008"/>
    <n v="25038"/>
    <n v="1204"/>
  </r>
  <r>
    <x v="23"/>
    <x v="1"/>
    <n v="655"/>
    <n v="123"/>
    <n v="202472"/>
    <n v="7.56"/>
    <n v="9092"/>
    <n v="532"/>
  </r>
  <r>
    <x v="23"/>
    <x v="2"/>
    <n v="1148"/>
    <n v="90"/>
    <n v="227249"/>
    <n v="7.24"/>
    <n v="17662"/>
    <n v="1058"/>
  </r>
  <r>
    <x v="24"/>
    <x v="0"/>
    <n v="946"/>
    <n v="270"/>
    <n v="246567"/>
    <n v="4.53"/>
    <n v="5924"/>
    <n v="676"/>
  </r>
  <r>
    <x v="24"/>
    <x v="1"/>
    <n v="791"/>
    <n v="214"/>
    <n v="114738"/>
    <n v="6.62"/>
    <n v="25347"/>
    <n v="577"/>
  </r>
  <r>
    <x v="24"/>
    <x v="2"/>
    <n v="793"/>
    <n v="111"/>
    <n v="333500"/>
    <n v="6.36"/>
    <n v="8910"/>
    <n v="682"/>
  </r>
  <r>
    <x v="25"/>
    <x v="0"/>
    <n v="663"/>
    <n v="213"/>
    <n v="352677"/>
    <n v="9"/>
    <n v="20438"/>
    <n v="450"/>
  </r>
  <r>
    <x v="25"/>
    <x v="1"/>
    <n v="954"/>
    <n v="271"/>
    <n v="160936"/>
    <n v="8.83"/>
    <n v="8760"/>
    <n v="683"/>
  </r>
  <r>
    <x v="25"/>
    <x v="2"/>
    <n v="1313"/>
    <n v="159"/>
    <n v="197183"/>
    <n v="9.7100000000000009"/>
    <n v="6625"/>
    <n v="1154"/>
  </r>
  <r>
    <x v="26"/>
    <x v="0"/>
    <n v="895"/>
    <n v="87"/>
    <n v="171271"/>
    <n v="6.68"/>
    <n v="23329"/>
    <n v="808"/>
  </r>
  <r>
    <x v="26"/>
    <x v="1"/>
    <n v="1027"/>
    <n v="156"/>
    <n v="111293"/>
    <n v="5.51"/>
    <n v="7299"/>
    <n v="871"/>
  </r>
  <r>
    <x v="26"/>
    <x v="2"/>
    <n v="990"/>
    <n v="286"/>
    <n v="351493"/>
    <n v="7.97"/>
    <n v="14496"/>
    <n v="704"/>
  </r>
  <r>
    <x v="27"/>
    <x v="0"/>
    <n v="875"/>
    <n v="264"/>
    <n v="345631"/>
    <n v="9.18"/>
    <n v="25703"/>
    <n v="611"/>
  </r>
  <r>
    <x v="27"/>
    <x v="1"/>
    <n v="599"/>
    <n v="194"/>
    <n v="105622"/>
    <n v="6.44"/>
    <n v="15108"/>
    <n v="405"/>
  </r>
  <r>
    <x v="27"/>
    <x v="2"/>
    <n v="630"/>
    <n v="248"/>
    <n v="119054"/>
    <n v="5.0199999999999996"/>
    <n v="18867"/>
    <n v="382"/>
  </r>
  <r>
    <x v="28"/>
    <x v="0"/>
    <n v="1350"/>
    <n v="233"/>
    <n v="171670"/>
    <n v="4.53"/>
    <n v="17574"/>
    <n v="1117"/>
  </r>
  <r>
    <x v="28"/>
    <x v="1"/>
    <n v="632"/>
    <n v="155"/>
    <n v="170432"/>
    <n v="9.17"/>
    <n v="12840"/>
    <n v="477"/>
  </r>
  <r>
    <x v="28"/>
    <x v="2"/>
    <n v="1182"/>
    <n v="83"/>
    <n v="140300"/>
    <n v="3.27"/>
    <n v="21079"/>
    <n v="1099"/>
  </r>
  <r>
    <x v="29"/>
    <x v="0"/>
    <n v="661"/>
    <n v="94"/>
    <n v="116538"/>
    <n v="5.31"/>
    <n v="23486"/>
    <n v="567"/>
  </r>
  <r>
    <x v="29"/>
    <x v="1"/>
    <n v="1360"/>
    <n v="227"/>
    <n v="176902"/>
    <n v="6.03"/>
    <n v="5960"/>
    <n v="1133"/>
  </r>
  <r>
    <x v="29"/>
    <x v="2"/>
    <n v="935"/>
    <n v="85"/>
    <n v="326821"/>
    <n v="8.89"/>
    <n v="13301"/>
    <n v="850"/>
  </r>
  <r>
    <x v="30"/>
    <x v="0"/>
    <n v="664"/>
    <n v="251"/>
    <n v="240598"/>
    <n v="4.79"/>
    <n v="10563"/>
    <n v="413"/>
  </r>
  <r>
    <x v="30"/>
    <x v="1"/>
    <n v="1490"/>
    <n v="103"/>
    <n v="373274"/>
    <n v="4.8"/>
    <n v="19949"/>
    <n v="1387"/>
  </r>
  <r>
    <x v="30"/>
    <x v="2"/>
    <n v="601"/>
    <n v="64"/>
    <n v="123272"/>
    <n v="4.07"/>
    <n v="14273"/>
    <n v="537"/>
  </r>
  <r>
    <x v="31"/>
    <x v="0"/>
    <n v="613"/>
    <n v="170"/>
    <n v="139266"/>
    <n v="6.06"/>
    <n v="9247"/>
    <n v="443"/>
  </r>
  <r>
    <x v="31"/>
    <x v="1"/>
    <n v="1340"/>
    <n v="57"/>
    <n v="155927"/>
    <n v="7.79"/>
    <n v="11972"/>
    <n v="1283"/>
  </r>
  <r>
    <x v="31"/>
    <x v="2"/>
    <n v="953"/>
    <n v="228"/>
    <n v="258398"/>
    <n v="9.0500000000000007"/>
    <n v="13314"/>
    <n v="725"/>
  </r>
  <r>
    <x v="32"/>
    <x v="0"/>
    <n v="532"/>
    <n v="65"/>
    <n v="338561"/>
    <n v="3.5"/>
    <n v="14749"/>
    <n v="467"/>
  </r>
  <r>
    <x v="32"/>
    <x v="1"/>
    <n v="1414"/>
    <n v="60"/>
    <n v="341856"/>
    <n v="8.76"/>
    <n v="6868"/>
    <n v="1354"/>
  </r>
  <r>
    <x v="32"/>
    <x v="2"/>
    <n v="685"/>
    <n v="165"/>
    <n v="175860"/>
    <n v="6.26"/>
    <n v="6027"/>
    <n v="520"/>
  </r>
  <r>
    <x v="33"/>
    <x v="0"/>
    <n v="601"/>
    <n v="159"/>
    <n v="327722"/>
    <n v="3.33"/>
    <n v="25267"/>
    <n v="442"/>
  </r>
  <r>
    <x v="33"/>
    <x v="1"/>
    <n v="841"/>
    <n v="295"/>
    <n v="271638"/>
    <n v="9.15"/>
    <n v="5900"/>
    <n v="546"/>
  </r>
  <r>
    <x v="33"/>
    <x v="2"/>
    <n v="1105"/>
    <n v="261"/>
    <n v="333851"/>
    <n v="6.03"/>
    <n v="11181"/>
    <n v="844"/>
  </r>
  <r>
    <x v="34"/>
    <x v="0"/>
    <n v="566"/>
    <n v="225"/>
    <n v="368984"/>
    <n v="9.82"/>
    <n v="9592"/>
    <n v="341"/>
  </r>
  <r>
    <x v="34"/>
    <x v="1"/>
    <n v="1149"/>
    <n v="280"/>
    <n v="167310"/>
    <n v="3.7"/>
    <n v="5291"/>
    <n v="869"/>
  </r>
  <r>
    <x v="34"/>
    <x v="2"/>
    <n v="819"/>
    <n v="101"/>
    <n v="194811"/>
    <n v="3.35"/>
    <n v="22244"/>
    <n v="718"/>
  </r>
  <r>
    <x v="35"/>
    <x v="0"/>
    <n v="795"/>
    <n v="60"/>
    <n v="314982"/>
    <n v="7.31"/>
    <n v="6824"/>
    <n v="735"/>
  </r>
  <r>
    <x v="35"/>
    <x v="1"/>
    <n v="681"/>
    <n v="158"/>
    <n v="75960"/>
    <n v="3.13"/>
    <n v="24112"/>
    <n v="523"/>
  </r>
  <r>
    <x v="35"/>
    <x v="2"/>
    <n v="534"/>
    <n v="112"/>
    <n v="360759"/>
    <n v="4.8899999999999997"/>
    <n v="25478"/>
    <n v="422"/>
  </r>
  <r>
    <x v="36"/>
    <x v="0"/>
    <n v="1066"/>
    <n v="151"/>
    <n v="297090"/>
    <n v="8.6300000000000008"/>
    <n v="11235"/>
    <n v="915"/>
  </r>
  <r>
    <x v="36"/>
    <x v="1"/>
    <n v="1270"/>
    <n v="162"/>
    <n v="92040"/>
    <n v="8.0299999999999994"/>
    <n v="6120"/>
    <n v="1108"/>
  </r>
  <r>
    <x v="36"/>
    <x v="2"/>
    <n v="536"/>
    <n v="198"/>
    <n v="174610"/>
    <n v="7.85"/>
    <n v="20572"/>
    <n v="338"/>
  </r>
  <r>
    <x v="37"/>
    <x v="0"/>
    <n v="819"/>
    <n v="95"/>
    <n v="177376"/>
    <n v="6.12"/>
    <n v="14975"/>
    <n v="724"/>
  </r>
  <r>
    <x v="37"/>
    <x v="1"/>
    <n v="681"/>
    <n v="218"/>
    <n v="198882"/>
    <n v="7.16"/>
    <n v="22234"/>
    <n v="463"/>
  </r>
  <r>
    <x v="37"/>
    <x v="2"/>
    <n v="646"/>
    <n v="290"/>
    <n v="336383"/>
    <n v="7.04"/>
    <n v="6532"/>
    <n v="356"/>
  </r>
  <r>
    <x v="38"/>
    <x v="0"/>
    <n v="645"/>
    <n v="267"/>
    <n v="346890"/>
    <n v="3.71"/>
    <n v="24858"/>
    <n v="378"/>
  </r>
  <r>
    <x v="38"/>
    <x v="1"/>
    <n v="886"/>
    <n v="250"/>
    <n v="168170"/>
    <n v="4.12"/>
    <n v="13883"/>
    <n v="636"/>
  </r>
  <r>
    <x v="38"/>
    <x v="2"/>
    <n v="978"/>
    <n v="279"/>
    <n v="368872"/>
    <n v="6.82"/>
    <n v="18654"/>
    <n v="699"/>
  </r>
  <r>
    <x v="39"/>
    <x v="0"/>
    <n v="1444"/>
    <n v="165"/>
    <n v="116436"/>
    <n v="8.2200000000000006"/>
    <n v="25234"/>
    <n v="1279"/>
  </r>
  <r>
    <x v="39"/>
    <x v="1"/>
    <n v="1234"/>
    <n v="228"/>
    <n v="127502"/>
    <n v="7.71"/>
    <n v="6772"/>
    <n v="1006"/>
  </r>
  <r>
    <x v="39"/>
    <x v="2"/>
    <n v="665"/>
    <n v="187"/>
    <n v="274567"/>
    <n v="7.39"/>
    <n v="22428"/>
    <n v="478"/>
  </r>
  <r>
    <x v="40"/>
    <x v="0"/>
    <n v="631"/>
    <n v="86"/>
    <n v="295090"/>
    <n v="7.89"/>
    <n v="11911"/>
    <n v="545"/>
  </r>
  <r>
    <x v="40"/>
    <x v="1"/>
    <n v="1159"/>
    <n v="154"/>
    <n v="194994"/>
    <n v="6.39"/>
    <n v="21900"/>
    <n v="1005"/>
  </r>
  <r>
    <x v="40"/>
    <x v="2"/>
    <n v="950"/>
    <n v="185"/>
    <n v="340750"/>
    <n v="6.77"/>
    <n v="25542"/>
    <n v="765"/>
  </r>
  <r>
    <x v="41"/>
    <x v="0"/>
    <n v="693"/>
    <n v="129"/>
    <n v="296031"/>
    <n v="3.41"/>
    <n v="7140"/>
    <n v="564"/>
  </r>
  <r>
    <x v="41"/>
    <x v="1"/>
    <n v="576"/>
    <n v="80"/>
    <n v="345688"/>
    <n v="4.1100000000000003"/>
    <n v="20474"/>
    <n v="496"/>
  </r>
  <r>
    <x v="41"/>
    <x v="2"/>
    <n v="1274"/>
    <n v="146"/>
    <n v="263488"/>
    <n v="9.58"/>
    <n v="8698"/>
    <n v="1128"/>
  </r>
  <r>
    <x v="42"/>
    <x v="0"/>
    <n v="818"/>
    <n v="253"/>
    <n v="184911"/>
    <n v="3.39"/>
    <n v="10402"/>
    <n v="565"/>
  </r>
  <r>
    <x v="42"/>
    <x v="1"/>
    <n v="975"/>
    <n v="162"/>
    <n v="124497"/>
    <n v="9.58"/>
    <n v="26618"/>
    <n v="813"/>
  </r>
  <r>
    <x v="42"/>
    <x v="2"/>
    <n v="1398"/>
    <n v="97"/>
    <n v="397607"/>
    <n v="5.09"/>
    <n v="7975"/>
    <n v="1301"/>
  </r>
  <r>
    <x v="43"/>
    <x v="0"/>
    <n v="591"/>
    <n v="155"/>
    <n v="138521"/>
    <n v="7.85"/>
    <n v="19054"/>
    <n v="436"/>
  </r>
  <r>
    <x v="43"/>
    <x v="1"/>
    <n v="1232"/>
    <n v="254"/>
    <n v="107718"/>
    <n v="9.7100000000000009"/>
    <n v="13740"/>
    <n v="978"/>
  </r>
  <r>
    <x v="43"/>
    <x v="2"/>
    <n v="1425"/>
    <n v="58"/>
    <n v="202234"/>
    <n v="6.67"/>
    <n v="18442"/>
    <n v="1367"/>
  </r>
  <r>
    <x v="44"/>
    <x v="0"/>
    <n v="1417"/>
    <n v="80"/>
    <n v="340987"/>
    <n v="6.13"/>
    <n v="10104"/>
    <n v="1337"/>
  </r>
  <r>
    <x v="44"/>
    <x v="1"/>
    <n v="1222"/>
    <n v="208"/>
    <n v="340098"/>
    <n v="7.34"/>
    <n v="21771"/>
    <n v="1014"/>
  </r>
  <r>
    <x v="44"/>
    <x v="2"/>
    <n v="1071"/>
    <n v="131"/>
    <n v="254727"/>
    <n v="6.87"/>
    <n v="22191"/>
    <n v="940"/>
  </r>
  <r>
    <x v="45"/>
    <x v="0"/>
    <n v="772"/>
    <n v="82"/>
    <n v="345659"/>
    <n v="3.52"/>
    <n v="27753"/>
    <n v="690"/>
  </r>
  <r>
    <x v="45"/>
    <x v="1"/>
    <n v="1472"/>
    <n v="137"/>
    <n v="213950"/>
    <n v="6.96"/>
    <n v="23736"/>
    <n v="1335"/>
  </r>
  <r>
    <x v="45"/>
    <x v="2"/>
    <n v="1472"/>
    <n v="281"/>
    <n v="258115"/>
    <n v="7.23"/>
    <n v="27393"/>
    <n v="1191"/>
  </r>
  <r>
    <x v="46"/>
    <x v="0"/>
    <n v="585"/>
    <n v="232"/>
    <n v="321258"/>
    <n v="7.42"/>
    <n v="10343"/>
    <n v="353"/>
  </r>
  <r>
    <x v="46"/>
    <x v="1"/>
    <n v="747"/>
    <n v="261"/>
    <n v="338650"/>
    <n v="7.73"/>
    <n v="25259"/>
    <n v="486"/>
  </r>
  <r>
    <x v="46"/>
    <x v="2"/>
    <n v="1113"/>
    <n v="224"/>
    <n v="272989"/>
    <n v="5.13"/>
    <n v="24827"/>
    <n v="889"/>
  </r>
  <r>
    <x v="47"/>
    <x v="0"/>
    <n v="1100"/>
    <n v="117"/>
    <n v="260204"/>
    <n v="4.4000000000000004"/>
    <n v="11908"/>
    <n v="983"/>
  </r>
  <r>
    <x v="47"/>
    <x v="1"/>
    <n v="751"/>
    <n v="170"/>
    <n v="283278"/>
    <n v="3.49"/>
    <n v="11005"/>
    <n v="581"/>
  </r>
  <r>
    <x v="47"/>
    <x v="2"/>
    <n v="864"/>
    <n v="50"/>
    <n v="277445"/>
    <n v="3.57"/>
    <n v="26333"/>
    <n v="814"/>
  </r>
  <r>
    <x v="48"/>
    <x v="0"/>
    <n v="1146"/>
    <n v="227"/>
    <n v="353781"/>
    <n v="6.41"/>
    <n v="5495"/>
    <n v="919"/>
  </r>
  <r>
    <x v="48"/>
    <x v="1"/>
    <n v="883"/>
    <n v="207"/>
    <n v="265019"/>
    <n v="6.04"/>
    <n v="15655"/>
    <n v="676"/>
  </r>
  <r>
    <x v="48"/>
    <x v="2"/>
    <n v="622"/>
    <n v="163"/>
    <n v="231925"/>
    <n v="9.18"/>
    <n v="13763"/>
    <n v="459"/>
  </r>
  <r>
    <x v="49"/>
    <x v="0"/>
    <n v="837"/>
    <n v="261"/>
    <n v="366149"/>
    <n v="6.54"/>
    <n v="26073"/>
    <n v="576"/>
  </r>
  <r>
    <x v="49"/>
    <x v="1"/>
    <n v="544"/>
    <n v="97"/>
    <n v="168375"/>
    <n v="8.66"/>
    <n v="12774"/>
    <n v="447"/>
  </r>
  <r>
    <x v="49"/>
    <x v="2"/>
    <n v="624"/>
    <n v="247"/>
    <n v="252763"/>
    <n v="3.89"/>
    <n v="19000"/>
    <n v="377"/>
  </r>
  <r>
    <x v="50"/>
    <x v="0"/>
    <n v="1073"/>
    <n v="141"/>
    <n v="118393"/>
    <n v="7.95"/>
    <n v="14051"/>
    <n v="932"/>
  </r>
  <r>
    <x v="50"/>
    <x v="1"/>
    <n v="1430"/>
    <n v="74"/>
    <n v="327012"/>
    <n v="6.66"/>
    <n v="27782"/>
    <n v="1356"/>
  </r>
  <r>
    <x v="50"/>
    <x v="2"/>
    <n v="1358"/>
    <n v="77"/>
    <n v="169688"/>
    <n v="5.25"/>
    <n v="7859"/>
    <n v="1281"/>
  </r>
  <r>
    <x v="51"/>
    <x v="0"/>
    <n v="1242"/>
    <n v="201"/>
    <n v="271935"/>
    <n v="5.07"/>
    <n v="15773"/>
    <n v="1041"/>
  </r>
  <r>
    <x v="51"/>
    <x v="1"/>
    <n v="1389"/>
    <n v="205"/>
    <n v="315981"/>
    <n v="7.62"/>
    <n v="20595"/>
    <n v="1184"/>
  </r>
  <r>
    <x v="51"/>
    <x v="2"/>
    <n v="826"/>
    <n v="142"/>
    <n v="341016"/>
    <n v="7.44"/>
    <n v="12031"/>
    <n v="684"/>
  </r>
  <r>
    <x v="52"/>
    <x v="0"/>
    <n v="618"/>
    <n v="264"/>
    <n v="285164"/>
    <n v="4.8600000000000003"/>
    <n v="15128"/>
    <n v="354"/>
  </r>
  <r>
    <x v="52"/>
    <x v="1"/>
    <n v="1419"/>
    <n v="293"/>
    <n v="116632"/>
    <n v="6.93"/>
    <n v="11826"/>
    <n v="1126"/>
  </r>
  <r>
    <x v="52"/>
    <x v="2"/>
    <n v="637"/>
    <n v="68"/>
    <n v="115694"/>
    <n v="9.99"/>
    <n v="12562"/>
    <n v="569"/>
  </r>
  <r>
    <x v="53"/>
    <x v="0"/>
    <n v="917"/>
    <n v="187"/>
    <n v="64444"/>
    <n v="5.22"/>
    <n v="13013"/>
    <n v="730"/>
  </r>
  <r>
    <x v="53"/>
    <x v="1"/>
    <n v="810"/>
    <n v="232"/>
    <n v="362559"/>
    <n v="5.17"/>
    <n v="12937"/>
    <n v="578"/>
  </r>
  <r>
    <x v="53"/>
    <x v="2"/>
    <n v="1183"/>
    <n v="248"/>
    <n v="226881"/>
    <n v="5.17"/>
    <n v="14534"/>
    <n v="935"/>
  </r>
  <r>
    <x v="54"/>
    <x v="0"/>
    <n v="765"/>
    <n v="67"/>
    <n v="283537"/>
    <n v="6.18"/>
    <n v="8182"/>
    <n v="698"/>
  </r>
  <r>
    <x v="54"/>
    <x v="1"/>
    <n v="540"/>
    <n v="215"/>
    <n v="62837"/>
    <n v="5.3"/>
    <n v="10615"/>
    <n v="325"/>
  </r>
  <r>
    <x v="54"/>
    <x v="2"/>
    <n v="1145"/>
    <n v="151"/>
    <n v="182759"/>
    <n v="5.99"/>
    <n v="20109"/>
    <n v="994"/>
  </r>
  <r>
    <x v="55"/>
    <x v="0"/>
    <n v="564"/>
    <n v="244"/>
    <n v="279405"/>
    <n v="8.43"/>
    <n v="26024"/>
    <n v="320"/>
  </r>
  <r>
    <x v="55"/>
    <x v="1"/>
    <n v="668"/>
    <n v="124"/>
    <n v="257485"/>
    <n v="7.55"/>
    <n v="26730"/>
    <n v="544"/>
  </r>
  <r>
    <x v="55"/>
    <x v="2"/>
    <n v="761"/>
    <n v="241"/>
    <n v="154977"/>
    <n v="5.63"/>
    <n v="10563"/>
    <n v="520"/>
  </r>
  <r>
    <x v="56"/>
    <x v="0"/>
    <n v="593"/>
    <n v="108"/>
    <n v="216500"/>
    <n v="4.71"/>
    <n v="27575"/>
    <n v="485"/>
  </r>
  <r>
    <x v="56"/>
    <x v="1"/>
    <n v="1349"/>
    <n v="115"/>
    <n v="102102"/>
    <n v="5.28"/>
    <n v="14479"/>
    <n v="1234"/>
  </r>
  <r>
    <x v="56"/>
    <x v="2"/>
    <n v="693"/>
    <n v="97"/>
    <n v="92025"/>
    <n v="5.95"/>
    <n v="15915"/>
    <n v="596"/>
  </r>
  <r>
    <x v="57"/>
    <x v="0"/>
    <n v="974"/>
    <n v="143"/>
    <n v="247965"/>
    <n v="9.98"/>
    <n v="12767"/>
    <n v="831"/>
  </r>
  <r>
    <x v="57"/>
    <x v="1"/>
    <n v="1155"/>
    <n v="122"/>
    <n v="387352"/>
    <n v="9.93"/>
    <n v="12170"/>
    <n v="1033"/>
  </r>
  <r>
    <x v="57"/>
    <x v="2"/>
    <n v="1051"/>
    <n v="246"/>
    <n v="253985"/>
    <n v="9.08"/>
    <n v="7245"/>
    <n v="805"/>
  </r>
  <r>
    <x v="58"/>
    <x v="0"/>
    <n v="1457"/>
    <n v="183"/>
    <n v="129640"/>
    <n v="7.98"/>
    <n v="12985"/>
    <n v="1274"/>
  </r>
  <r>
    <x v="58"/>
    <x v="1"/>
    <n v="670"/>
    <n v="242"/>
    <n v="281913"/>
    <n v="9.6199999999999992"/>
    <n v="16377"/>
    <n v="428"/>
  </r>
  <r>
    <x v="58"/>
    <x v="2"/>
    <n v="1111"/>
    <n v="159"/>
    <n v="360770"/>
    <n v="8.7100000000000009"/>
    <n v="11453"/>
    <n v="952"/>
  </r>
  <r>
    <x v="59"/>
    <x v="0"/>
    <n v="1197"/>
    <n v="246"/>
    <n v="127273"/>
    <n v="6.69"/>
    <n v="12323"/>
    <n v="951"/>
  </r>
  <r>
    <x v="59"/>
    <x v="1"/>
    <n v="754"/>
    <n v="150"/>
    <n v="189622"/>
    <n v="4.25"/>
    <n v="11911"/>
    <n v="604"/>
  </r>
  <r>
    <x v="59"/>
    <x v="2"/>
    <n v="1246"/>
    <n v="107"/>
    <n v="350949"/>
    <n v="4.9800000000000004"/>
    <n v="27809"/>
    <n v="1139"/>
  </r>
  <r>
    <x v="60"/>
    <x v="0"/>
    <n v="780"/>
    <n v="213"/>
    <n v="121431"/>
    <n v="4.97"/>
    <n v="21464"/>
    <n v="567"/>
  </r>
  <r>
    <x v="60"/>
    <x v="1"/>
    <n v="1425"/>
    <n v="143"/>
    <n v="116742"/>
    <n v="3.71"/>
    <n v="27126"/>
    <n v="1282"/>
  </r>
  <r>
    <x v="60"/>
    <x v="2"/>
    <n v="1490"/>
    <n v="103"/>
    <n v="81184"/>
    <n v="7.79"/>
    <n v="10681"/>
    <n v="1387"/>
  </r>
  <r>
    <x v="61"/>
    <x v="0"/>
    <n v="949"/>
    <n v="282"/>
    <n v="87126"/>
    <n v="4.96"/>
    <n v="5413"/>
    <n v="667"/>
  </r>
  <r>
    <x v="61"/>
    <x v="1"/>
    <n v="640"/>
    <n v="141"/>
    <n v="267546"/>
    <n v="8.58"/>
    <n v="25058"/>
    <n v="499"/>
  </r>
  <r>
    <x v="61"/>
    <x v="2"/>
    <n v="616"/>
    <n v="93"/>
    <n v="133082"/>
    <n v="8.51"/>
    <n v="18303"/>
    <n v="523"/>
  </r>
  <r>
    <x v="62"/>
    <x v="0"/>
    <n v="1080"/>
    <n v="184"/>
    <n v="340557"/>
    <n v="5.41"/>
    <n v="5526"/>
    <n v="896"/>
  </r>
  <r>
    <x v="62"/>
    <x v="1"/>
    <n v="938"/>
    <n v="236"/>
    <n v="116472"/>
    <n v="8.7200000000000006"/>
    <n v="17460"/>
    <n v="702"/>
  </r>
  <r>
    <x v="62"/>
    <x v="2"/>
    <n v="1007"/>
    <n v="258"/>
    <n v="113412"/>
    <n v="7.71"/>
    <n v="14475"/>
    <n v="749"/>
  </r>
  <r>
    <x v="63"/>
    <x v="0"/>
    <n v="541"/>
    <n v="208"/>
    <n v="157547"/>
    <n v="8.35"/>
    <n v="20162"/>
    <n v="333"/>
  </r>
  <r>
    <x v="63"/>
    <x v="1"/>
    <n v="745"/>
    <n v="98"/>
    <n v="354816"/>
    <n v="4.03"/>
    <n v="17103"/>
    <n v="647"/>
  </r>
  <r>
    <x v="63"/>
    <x v="2"/>
    <n v="936"/>
    <n v="97"/>
    <n v="151799"/>
    <n v="9.3699999999999992"/>
    <n v="15461"/>
    <n v="839"/>
  </r>
  <r>
    <x v="64"/>
    <x v="0"/>
    <n v="1183"/>
    <n v="223"/>
    <n v="143811"/>
    <n v="6.07"/>
    <n v="22103"/>
    <n v="960"/>
  </r>
  <r>
    <x v="64"/>
    <x v="1"/>
    <n v="1413"/>
    <n v="245"/>
    <n v="296450"/>
    <n v="6.52"/>
    <n v="11625"/>
    <n v="1168"/>
  </r>
  <r>
    <x v="64"/>
    <x v="2"/>
    <n v="791"/>
    <n v="273"/>
    <n v="144049"/>
    <n v="3.08"/>
    <n v="5281"/>
    <n v="518"/>
  </r>
  <r>
    <x v="65"/>
    <x v="0"/>
    <n v="1052"/>
    <n v="180"/>
    <n v="272534"/>
    <n v="5.34"/>
    <n v="13424"/>
    <n v="872"/>
  </r>
  <r>
    <x v="65"/>
    <x v="1"/>
    <n v="572"/>
    <n v="270"/>
    <n v="82265"/>
    <n v="3.65"/>
    <n v="13140"/>
    <n v="302"/>
  </r>
  <r>
    <x v="65"/>
    <x v="2"/>
    <n v="503"/>
    <n v="253"/>
    <n v="313562"/>
    <n v="4.18"/>
    <n v="19538"/>
    <n v="250"/>
  </r>
  <r>
    <x v="66"/>
    <x v="0"/>
    <n v="1017"/>
    <n v="197"/>
    <n v="89918"/>
    <n v="3.91"/>
    <n v="7881"/>
    <n v="820"/>
  </r>
  <r>
    <x v="66"/>
    <x v="1"/>
    <n v="860"/>
    <n v="244"/>
    <n v="348686"/>
    <n v="5.12"/>
    <n v="11418"/>
    <n v="6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402"/>
    <n v="68"/>
    <n v="124562"/>
    <n v="9.92"/>
    <n v="23125"/>
    <n v="1334"/>
  </r>
  <r>
    <x v="0"/>
    <x v="1"/>
    <n v="995"/>
    <n v="86"/>
    <n v="227958"/>
    <n v="8.0500000000000007"/>
    <n v="22788"/>
    <n v="909"/>
  </r>
  <r>
    <x v="0"/>
    <x v="2"/>
    <n v="1472"/>
    <n v="296"/>
    <n v="370242"/>
    <n v="7.72"/>
    <n v="7810"/>
    <n v="1176"/>
  </r>
  <r>
    <x v="1"/>
    <x v="0"/>
    <n v="1018"/>
    <n v="90"/>
    <n v="92474"/>
    <n v="9.4"/>
    <n v="11966"/>
    <n v="928"/>
  </r>
  <r>
    <x v="1"/>
    <x v="1"/>
    <n v="1461"/>
    <n v="64"/>
    <n v="328902"/>
    <n v="9.02"/>
    <n v="26298"/>
    <n v="1397"/>
  </r>
  <r>
    <x v="1"/>
    <x v="2"/>
    <n v="545"/>
    <n v="93"/>
    <n v="391621"/>
    <n v="9.9600000000000009"/>
    <n v="22029"/>
    <n v="452"/>
  </r>
  <r>
    <x v="2"/>
    <x v="0"/>
    <n v="881"/>
    <n v="291"/>
    <n v="95885"/>
    <n v="5.29"/>
    <n v="12391"/>
    <n v="590"/>
  </r>
  <r>
    <x v="2"/>
    <x v="1"/>
    <n v="1414"/>
    <n v="131"/>
    <n v="245947"/>
    <n v="8.3000000000000007"/>
    <n v="14477"/>
    <n v="1283"/>
  </r>
  <r>
    <x v="2"/>
    <x v="2"/>
    <n v="1472"/>
    <n v="170"/>
    <n v="250428"/>
    <n v="4.66"/>
    <n v="25040"/>
    <n v="1302"/>
  </r>
  <r>
    <x v="3"/>
    <x v="0"/>
    <n v="809"/>
    <n v="197"/>
    <n v="87186"/>
    <n v="9.48"/>
    <n v="22619"/>
    <n v="612"/>
  </r>
  <r>
    <x v="3"/>
    <x v="1"/>
    <n v="1371"/>
    <n v="250"/>
    <n v="128620"/>
    <n v="7.11"/>
    <n v="12399"/>
    <n v="1121"/>
  </r>
  <r>
    <x v="3"/>
    <x v="2"/>
    <n v="844"/>
    <n v="144"/>
    <n v="126015"/>
    <n v="9.65"/>
    <n v="22456"/>
    <n v="700"/>
  </r>
  <r>
    <x v="4"/>
    <x v="0"/>
    <n v="786"/>
    <n v="72"/>
    <n v="178615"/>
    <n v="5.43"/>
    <n v="19328"/>
    <n v="714"/>
  </r>
  <r>
    <x v="4"/>
    <x v="1"/>
    <n v="845"/>
    <n v="250"/>
    <n v="218228"/>
    <n v="4.5199999999999996"/>
    <n v="21107"/>
    <n v="595"/>
  </r>
  <r>
    <x v="4"/>
    <x v="2"/>
    <n v="1218"/>
    <n v="101"/>
    <n v="300397"/>
    <n v="4.33"/>
    <n v="12277"/>
    <n v="1117"/>
  </r>
  <r>
    <x v="5"/>
    <x v="0"/>
    <n v="797"/>
    <n v="130"/>
    <n v="340121"/>
    <n v="8.52"/>
    <n v="11684"/>
    <n v="667"/>
  </r>
  <r>
    <x v="5"/>
    <x v="1"/>
    <n v="1471"/>
    <n v="100"/>
    <n v="76866"/>
    <n v="8.5500000000000007"/>
    <n v="14412"/>
    <n v="1371"/>
  </r>
  <r>
    <x v="5"/>
    <x v="2"/>
    <n v="1253"/>
    <n v="136"/>
    <n v="193131"/>
    <n v="7.99"/>
    <n v="15924"/>
    <n v="1117"/>
  </r>
  <r>
    <x v="6"/>
    <x v="0"/>
    <n v="616"/>
    <n v="257"/>
    <n v="169665"/>
    <n v="6.31"/>
    <n v="12390"/>
    <n v="359"/>
  </r>
  <r>
    <x v="6"/>
    <x v="1"/>
    <n v="1308"/>
    <n v="210"/>
    <n v="263729"/>
    <n v="8.5299999999999994"/>
    <n v="25742"/>
    <n v="1098"/>
  </r>
  <r>
    <x v="6"/>
    <x v="2"/>
    <n v="981"/>
    <n v="69"/>
    <n v="206921"/>
    <n v="8.42"/>
    <n v="10495"/>
    <n v="912"/>
  </r>
  <r>
    <x v="7"/>
    <x v="0"/>
    <n v="866"/>
    <n v="74"/>
    <n v="204121"/>
    <n v="9.34"/>
    <n v="7797"/>
    <n v="792"/>
  </r>
  <r>
    <x v="7"/>
    <x v="1"/>
    <n v="547"/>
    <n v="183"/>
    <n v="266350"/>
    <n v="5.65"/>
    <n v="15595"/>
    <n v="364"/>
  </r>
  <r>
    <x v="7"/>
    <x v="2"/>
    <n v="1241"/>
    <n v="116"/>
    <n v="380606"/>
    <n v="4.2"/>
    <n v="24617"/>
    <n v="1125"/>
  </r>
  <r>
    <x v="8"/>
    <x v="0"/>
    <n v="973"/>
    <n v="104"/>
    <n v="376358"/>
    <n v="3.87"/>
    <n v="9847"/>
    <n v="869"/>
  </r>
  <r>
    <x v="8"/>
    <x v="1"/>
    <n v="611"/>
    <n v="197"/>
    <n v="79423"/>
    <n v="5.82"/>
    <n v="13644"/>
    <n v="414"/>
  </r>
  <r>
    <x v="8"/>
    <x v="2"/>
    <n v="983"/>
    <n v="134"/>
    <n v="352178"/>
    <n v="3.55"/>
    <n v="11421"/>
    <n v="849"/>
  </r>
  <r>
    <x v="9"/>
    <x v="0"/>
    <n v="1449"/>
    <n v="96"/>
    <n v="200636"/>
    <n v="9.92"/>
    <n v="15613"/>
    <n v="1353"/>
  </r>
  <r>
    <x v="9"/>
    <x v="1"/>
    <n v="752"/>
    <n v="170"/>
    <n v="132756"/>
    <n v="8.17"/>
    <n v="23900"/>
    <n v="582"/>
  </r>
  <r>
    <x v="9"/>
    <x v="2"/>
    <n v="937"/>
    <n v="179"/>
    <n v="318098"/>
    <n v="5.3"/>
    <n v="5836"/>
    <n v="758"/>
  </r>
  <r>
    <x v="10"/>
    <x v="0"/>
    <n v="1060"/>
    <n v="83"/>
    <n v="68724"/>
    <n v="5.98"/>
    <n v="5624"/>
    <n v="977"/>
  </r>
  <r>
    <x v="10"/>
    <x v="1"/>
    <n v="1456"/>
    <n v="265"/>
    <n v="115505"/>
    <n v="7.49"/>
    <n v="10311"/>
    <n v="1191"/>
  </r>
  <r>
    <x v="10"/>
    <x v="2"/>
    <n v="1109"/>
    <n v="205"/>
    <n v="276722"/>
    <n v="9.3800000000000008"/>
    <n v="8274"/>
    <n v="904"/>
  </r>
  <r>
    <x v="11"/>
    <x v="0"/>
    <n v="1002"/>
    <n v="93"/>
    <n v="353538"/>
    <n v="5.84"/>
    <n v="6031"/>
    <n v="909"/>
  </r>
  <r>
    <x v="11"/>
    <x v="1"/>
    <n v="571"/>
    <n v="189"/>
    <n v="61445"/>
    <n v="5.41"/>
    <n v="27829"/>
    <n v="382"/>
  </r>
  <r>
    <x v="11"/>
    <x v="2"/>
    <n v="1240"/>
    <n v="231"/>
    <n v="165035"/>
    <n v="6.05"/>
    <n v="18267"/>
    <n v="1009"/>
  </r>
  <r>
    <x v="12"/>
    <x v="0"/>
    <n v="1154"/>
    <n v="132"/>
    <n v="194595"/>
    <n v="7.54"/>
    <n v="26624"/>
    <n v="1022"/>
  </r>
  <r>
    <x v="12"/>
    <x v="1"/>
    <n v="537"/>
    <n v="275"/>
    <n v="236238"/>
    <n v="5.87"/>
    <n v="26644"/>
    <n v="262"/>
  </r>
  <r>
    <x v="12"/>
    <x v="2"/>
    <n v="1456"/>
    <n v="290"/>
    <n v="271044"/>
    <n v="7.17"/>
    <n v="13051"/>
    <n v="1166"/>
  </r>
  <r>
    <x v="13"/>
    <x v="0"/>
    <n v="721"/>
    <n v="206"/>
    <n v="334887"/>
    <n v="6.05"/>
    <n v="14217"/>
    <n v="515"/>
  </r>
  <r>
    <x v="13"/>
    <x v="1"/>
    <n v="1098"/>
    <n v="142"/>
    <n v="359150"/>
    <n v="7.51"/>
    <n v="16385"/>
    <n v="956"/>
  </r>
  <r>
    <x v="13"/>
    <x v="2"/>
    <n v="1096"/>
    <n v="65"/>
    <n v="358295"/>
    <n v="7.66"/>
    <n v="24548"/>
    <n v="1031"/>
  </r>
  <r>
    <x v="14"/>
    <x v="0"/>
    <n v="912"/>
    <n v="275"/>
    <n v="368454"/>
    <n v="6.03"/>
    <n v="9195"/>
    <n v="637"/>
  </r>
  <r>
    <x v="14"/>
    <x v="1"/>
    <n v="1430"/>
    <n v="162"/>
    <n v="269082"/>
    <n v="3.4"/>
    <n v="18071"/>
    <n v="1268"/>
  </r>
  <r>
    <x v="14"/>
    <x v="2"/>
    <n v="854"/>
    <n v="129"/>
    <n v="310903"/>
    <n v="7.83"/>
    <n v="16875"/>
    <n v="725"/>
  </r>
  <r>
    <x v="15"/>
    <x v="0"/>
    <n v="681"/>
    <n v="210"/>
    <n v="248581"/>
    <n v="8.76"/>
    <n v="9567"/>
    <n v="471"/>
  </r>
  <r>
    <x v="15"/>
    <x v="1"/>
    <n v="1373"/>
    <n v="82"/>
    <n v="371015"/>
    <n v="9.52"/>
    <n v="20306"/>
    <n v="1291"/>
  </r>
  <r>
    <x v="15"/>
    <x v="2"/>
    <n v="685"/>
    <n v="285"/>
    <n v="177452"/>
    <n v="3.36"/>
    <n v="21134"/>
    <n v="400"/>
  </r>
  <r>
    <x v="16"/>
    <x v="0"/>
    <n v="1290"/>
    <n v="177"/>
    <n v="80745"/>
    <n v="9.2200000000000006"/>
    <n v="26872"/>
    <n v="1113"/>
  </r>
  <r>
    <x v="16"/>
    <x v="1"/>
    <n v="1437"/>
    <n v="239"/>
    <n v="362441"/>
    <n v="5.57"/>
    <n v="10253"/>
    <n v="1198"/>
  </r>
  <r>
    <x v="16"/>
    <x v="2"/>
    <n v="769"/>
    <n v="295"/>
    <n v="344771"/>
    <n v="8.06"/>
    <n v="23963"/>
    <n v="474"/>
  </r>
  <r>
    <x v="17"/>
    <x v="0"/>
    <n v="1416"/>
    <n v="284"/>
    <n v="374952"/>
    <n v="3.45"/>
    <n v="11335"/>
    <n v="1132"/>
  </r>
  <r>
    <x v="17"/>
    <x v="1"/>
    <n v="998"/>
    <n v="154"/>
    <n v="179781"/>
    <n v="9.58"/>
    <n v="12115"/>
    <n v="844"/>
  </r>
  <r>
    <x v="17"/>
    <x v="2"/>
    <n v="1421"/>
    <n v="246"/>
    <n v="358581"/>
    <n v="8.8800000000000008"/>
    <n v="24358"/>
    <n v="1175"/>
  </r>
  <r>
    <x v="18"/>
    <x v="0"/>
    <n v="764"/>
    <n v="205"/>
    <n v="319294"/>
    <n v="6.23"/>
    <n v="12181"/>
    <n v="559"/>
  </r>
  <r>
    <x v="18"/>
    <x v="1"/>
    <n v="678"/>
    <n v="124"/>
    <n v="192022"/>
    <n v="8.4499999999999993"/>
    <n v="17729"/>
    <n v="554"/>
  </r>
  <r>
    <x v="18"/>
    <x v="2"/>
    <n v="1328"/>
    <n v="103"/>
    <n v="151462"/>
    <n v="8.4"/>
    <n v="10881"/>
    <n v="1225"/>
  </r>
  <r>
    <x v="19"/>
    <x v="0"/>
    <n v="1161"/>
    <n v="269"/>
    <n v="188193"/>
    <n v="7.34"/>
    <n v="18576"/>
    <n v="892"/>
  </r>
  <r>
    <x v="19"/>
    <x v="1"/>
    <n v="588"/>
    <n v="52"/>
    <n v="292040"/>
    <n v="8.14"/>
    <n v="9383"/>
    <n v="536"/>
  </r>
  <r>
    <x v="19"/>
    <x v="2"/>
    <n v="1457"/>
    <n v="215"/>
    <n v="325325"/>
    <n v="9.58"/>
    <n v="14178"/>
    <n v="1242"/>
  </r>
  <r>
    <x v="20"/>
    <x v="0"/>
    <n v="1190"/>
    <n v="242"/>
    <n v="86849"/>
    <n v="8.06"/>
    <n v="21254"/>
    <n v="948"/>
  </r>
  <r>
    <x v="20"/>
    <x v="1"/>
    <n v="886"/>
    <n v="124"/>
    <n v="141161"/>
    <n v="8.19"/>
    <n v="14215"/>
    <n v="762"/>
  </r>
  <r>
    <x v="20"/>
    <x v="2"/>
    <n v="1237"/>
    <n v="155"/>
    <n v="149916"/>
    <n v="4.4800000000000004"/>
    <n v="16921"/>
    <n v="1082"/>
  </r>
  <r>
    <x v="21"/>
    <x v="0"/>
    <n v="1435"/>
    <n v="261"/>
    <n v="308533"/>
    <n v="4.5199999999999996"/>
    <n v="25130"/>
    <n v="1174"/>
  </r>
  <r>
    <x v="21"/>
    <x v="1"/>
    <n v="746"/>
    <n v="282"/>
    <n v="293894"/>
    <n v="5.42"/>
    <n v="25537"/>
    <n v="464"/>
  </r>
  <r>
    <x v="21"/>
    <x v="2"/>
    <n v="759"/>
    <n v="216"/>
    <n v="147656"/>
    <n v="4.08"/>
    <n v="24943"/>
    <n v="543"/>
  </r>
  <r>
    <x v="22"/>
    <x v="0"/>
    <n v="1437"/>
    <n v="235"/>
    <n v="326791"/>
    <n v="4.0599999999999996"/>
    <n v="14563"/>
    <n v="1202"/>
  </r>
  <r>
    <x v="22"/>
    <x v="1"/>
    <n v="1463"/>
    <n v="73"/>
    <n v="348877"/>
    <n v="9.91"/>
    <n v="26273"/>
    <n v="1390"/>
  </r>
  <r>
    <x v="22"/>
    <x v="2"/>
    <n v="1208"/>
    <n v="224"/>
    <n v="122730"/>
    <n v="8.7200000000000006"/>
    <n v="10858"/>
    <n v="984"/>
  </r>
  <r>
    <x v="23"/>
    <x v="0"/>
    <n v="1391"/>
    <n v="187"/>
    <n v="306508"/>
    <n v="8.3800000000000008"/>
    <n v="25038"/>
    <n v="1204"/>
  </r>
  <r>
    <x v="23"/>
    <x v="1"/>
    <n v="655"/>
    <n v="123"/>
    <n v="202472"/>
    <n v="7.56"/>
    <n v="9092"/>
    <n v="532"/>
  </r>
  <r>
    <x v="23"/>
    <x v="2"/>
    <n v="1148"/>
    <n v="90"/>
    <n v="227249"/>
    <n v="7.24"/>
    <n v="17662"/>
    <n v="1058"/>
  </r>
  <r>
    <x v="24"/>
    <x v="0"/>
    <n v="946"/>
    <n v="270"/>
    <n v="246567"/>
    <n v="4.53"/>
    <n v="5924"/>
    <n v="676"/>
  </r>
  <r>
    <x v="24"/>
    <x v="1"/>
    <n v="791"/>
    <n v="214"/>
    <n v="114738"/>
    <n v="6.62"/>
    <n v="25347"/>
    <n v="577"/>
  </r>
  <r>
    <x v="24"/>
    <x v="2"/>
    <n v="793"/>
    <n v="111"/>
    <n v="333500"/>
    <n v="6.36"/>
    <n v="8910"/>
    <n v="682"/>
  </r>
  <r>
    <x v="25"/>
    <x v="0"/>
    <n v="663"/>
    <n v="213"/>
    <n v="352677"/>
    <n v="9"/>
    <n v="20438"/>
    <n v="450"/>
  </r>
  <r>
    <x v="25"/>
    <x v="1"/>
    <n v="954"/>
    <n v="271"/>
    <n v="160936"/>
    <n v="8.83"/>
    <n v="8760"/>
    <n v="683"/>
  </r>
  <r>
    <x v="25"/>
    <x v="2"/>
    <n v="1313"/>
    <n v="159"/>
    <n v="197183"/>
    <n v="9.7100000000000009"/>
    <n v="6625"/>
    <n v="1154"/>
  </r>
  <r>
    <x v="26"/>
    <x v="0"/>
    <n v="895"/>
    <n v="87"/>
    <n v="171271"/>
    <n v="6.68"/>
    <n v="23329"/>
    <n v="808"/>
  </r>
  <r>
    <x v="26"/>
    <x v="1"/>
    <n v="1027"/>
    <n v="156"/>
    <n v="111293"/>
    <n v="5.51"/>
    <n v="7299"/>
    <n v="871"/>
  </r>
  <r>
    <x v="26"/>
    <x v="2"/>
    <n v="990"/>
    <n v="286"/>
    <n v="351493"/>
    <n v="7.97"/>
    <n v="14496"/>
    <n v="704"/>
  </r>
  <r>
    <x v="27"/>
    <x v="0"/>
    <n v="875"/>
    <n v="264"/>
    <n v="345631"/>
    <n v="9.18"/>
    <n v="25703"/>
    <n v="611"/>
  </r>
  <r>
    <x v="27"/>
    <x v="1"/>
    <n v="599"/>
    <n v="194"/>
    <n v="105622"/>
    <n v="6.44"/>
    <n v="15108"/>
    <n v="405"/>
  </r>
  <r>
    <x v="27"/>
    <x v="2"/>
    <n v="630"/>
    <n v="248"/>
    <n v="119054"/>
    <n v="5.0199999999999996"/>
    <n v="18867"/>
    <n v="382"/>
  </r>
  <r>
    <x v="28"/>
    <x v="0"/>
    <n v="1350"/>
    <n v="233"/>
    <n v="171670"/>
    <n v="4.53"/>
    <n v="17574"/>
    <n v="1117"/>
  </r>
  <r>
    <x v="28"/>
    <x v="1"/>
    <n v="632"/>
    <n v="155"/>
    <n v="170432"/>
    <n v="9.17"/>
    <n v="12840"/>
    <n v="477"/>
  </r>
  <r>
    <x v="28"/>
    <x v="2"/>
    <n v="1182"/>
    <n v="83"/>
    <n v="140300"/>
    <n v="3.27"/>
    <n v="21079"/>
    <n v="1099"/>
  </r>
  <r>
    <x v="29"/>
    <x v="0"/>
    <n v="661"/>
    <n v="94"/>
    <n v="116538"/>
    <n v="5.31"/>
    <n v="23486"/>
    <n v="567"/>
  </r>
  <r>
    <x v="29"/>
    <x v="1"/>
    <n v="1360"/>
    <n v="227"/>
    <n v="176902"/>
    <n v="6.03"/>
    <n v="5960"/>
    <n v="1133"/>
  </r>
  <r>
    <x v="29"/>
    <x v="2"/>
    <n v="935"/>
    <n v="85"/>
    <n v="326821"/>
    <n v="8.89"/>
    <n v="13301"/>
    <n v="850"/>
  </r>
  <r>
    <x v="30"/>
    <x v="0"/>
    <n v="664"/>
    <n v="251"/>
    <n v="240598"/>
    <n v="4.79"/>
    <n v="10563"/>
    <n v="413"/>
  </r>
  <r>
    <x v="30"/>
    <x v="1"/>
    <n v="1490"/>
    <n v="103"/>
    <n v="373274"/>
    <n v="4.8"/>
    <n v="19949"/>
    <n v="1387"/>
  </r>
  <r>
    <x v="30"/>
    <x v="2"/>
    <n v="601"/>
    <n v="64"/>
    <n v="123272"/>
    <n v="4.07"/>
    <n v="14273"/>
    <n v="537"/>
  </r>
  <r>
    <x v="31"/>
    <x v="0"/>
    <n v="613"/>
    <n v="170"/>
    <n v="139266"/>
    <n v="6.06"/>
    <n v="9247"/>
    <n v="443"/>
  </r>
  <r>
    <x v="31"/>
    <x v="1"/>
    <n v="1340"/>
    <n v="57"/>
    <n v="155927"/>
    <n v="7.79"/>
    <n v="11972"/>
    <n v="1283"/>
  </r>
  <r>
    <x v="31"/>
    <x v="2"/>
    <n v="953"/>
    <n v="228"/>
    <n v="258398"/>
    <n v="9.0500000000000007"/>
    <n v="13314"/>
    <n v="725"/>
  </r>
  <r>
    <x v="32"/>
    <x v="0"/>
    <n v="532"/>
    <n v="65"/>
    <n v="338561"/>
    <n v="3.5"/>
    <n v="14749"/>
    <n v="467"/>
  </r>
  <r>
    <x v="32"/>
    <x v="1"/>
    <n v="1414"/>
    <n v="60"/>
    <n v="341856"/>
    <n v="8.76"/>
    <n v="6868"/>
    <n v="1354"/>
  </r>
  <r>
    <x v="32"/>
    <x v="2"/>
    <n v="685"/>
    <n v="165"/>
    <n v="175860"/>
    <n v="6.26"/>
    <n v="6027"/>
    <n v="520"/>
  </r>
  <r>
    <x v="33"/>
    <x v="0"/>
    <n v="601"/>
    <n v="159"/>
    <n v="327722"/>
    <n v="3.33"/>
    <n v="25267"/>
    <n v="442"/>
  </r>
  <r>
    <x v="33"/>
    <x v="1"/>
    <n v="841"/>
    <n v="295"/>
    <n v="271638"/>
    <n v="9.15"/>
    <n v="5900"/>
    <n v="546"/>
  </r>
  <r>
    <x v="33"/>
    <x v="2"/>
    <n v="1105"/>
    <n v="261"/>
    <n v="333851"/>
    <n v="6.03"/>
    <n v="11181"/>
    <n v="844"/>
  </r>
  <r>
    <x v="34"/>
    <x v="0"/>
    <n v="566"/>
    <n v="225"/>
    <n v="368984"/>
    <n v="9.82"/>
    <n v="9592"/>
    <n v="341"/>
  </r>
  <r>
    <x v="34"/>
    <x v="1"/>
    <n v="1149"/>
    <n v="280"/>
    <n v="167310"/>
    <n v="3.7"/>
    <n v="5291"/>
    <n v="869"/>
  </r>
  <r>
    <x v="34"/>
    <x v="2"/>
    <n v="819"/>
    <n v="101"/>
    <n v="194811"/>
    <n v="3.35"/>
    <n v="22244"/>
    <n v="718"/>
  </r>
  <r>
    <x v="35"/>
    <x v="0"/>
    <n v="795"/>
    <n v="60"/>
    <n v="314982"/>
    <n v="7.31"/>
    <n v="6824"/>
    <n v="735"/>
  </r>
  <r>
    <x v="35"/>
    <x v="1"/>
    <n v="681"/>
    <n v="158"/>
    <n v="75960"/>
    <n v="3.13"/>
    <n v="24112"/>
    <n v="523"/>
  </r>
  <r>
    <x v="35"/>
    <x v="2"/>
    <n v="534"/>
    <n v="112"/>
    <n v="360759"/>
    <n v="4.8899999999999997"/>
    <n v="25478"/>
    <n v="422"/>
  </r>
  <r>
    <x v="36"/>
    <x v="0"/>
    <n v="1066"/>
    <n v="151"/>
    <n v="297090"/>
    <n v="8.6300000000000008"/>
    <n v="11235"/>
    <n v="915"/>
  </r>
  <r>
    <x v="36"/>
    <x v="1"/>
    <n v="1270"/>
    <n v="162"/>
    <n v="92040"/>
    <n v="8.0299999999999994"/>
    <n v="6120"/>
    <n v="1108"/>
  </r>
  <r>
    <x v="36"/>
    <x v="2"/>
    <n v="536"/>
    <n v="198"/>
    <n v="174610"/>
    <n v="7.85"/>
    <n v="20572"/>
    <n v="338"/>
  </r>
  <r>
    <x v="37"/>
    <x v="0"/>
    <n v="819"/>
    <n v="95"/>
    <n v="177376"/>
    <n v="6.12"/>
    <n v="14975"/>
    <n v="724"/>
  </r>
  <r>
    <x v="37"/>
    <x v="1"/>
    <n v="681"/>
    <n v="218"/>
    <n v="198882"/>
    <n v="7.16"/>
    <n v="22234"/>
    <n v="463"/>
  </r>
  <r>
    <x v="37"/>
    <x v="2"/>
    <n v="646"/>
    <n v="290"/>
    <n v="336383"/>
    <n v="7.04"/>
    <n v="6532"/>
    <n v="356"/>
  </r>
  <r>
    <x v="38"/>
    <x v="0"/>
    <n v="645"/>
    <n v="267"/>
    <n v="346890"/>
    <n v="3.71"/>
    <n v="24858"/>
    <n v="378"/>
  </r>
  <r>
    <x v="38"/>
    <x v="1"/>
    <n v="886"/>
    <n v="250"/>
    <n v="168170"/>
    <n v="4.12"/>
    <n v="13883"/>
    <n v="636"/>
  </r>
  <r>
    <x v="38"/>
    <x v="2"/>
    <n v="978"/>
    <n v="279"/>
    <n v="368872"/>
    <n v="6.82"/>
    <n v="18654"/>
    <n v="699"/>
  </r>
  <r>
    <x v="39"/>
    <x v="0"/>
    <n v="1444"/>
    <n v="165"/>
    <n v="116436"/>
    <n v="8.2200000000000006"/>
    <n v="25234"/>
    <n v="1279"/>
  </r>
  <r>
    <x v="39"/>
    <x v="1"/>
    <n v="1234"/>
    <n v="228"/>
    <n v="127502"/>
    <n v="7.71"/>
    <n v="6772"/>
    <n v="1006"/>
  </r>
  <r>
    <x v="39"/>
    <x v="2"/>
    <n v="665"/>
    <n v="187"/>
    <n v="274567"/>
    <n v="7.39"/>
    <n v="22428"/>
    <n v="478"/>
  </r>
  <r>
    <x v="40"/>
    <x v="0"/>
    <n v="631"/>
    <n v="86"/>
    <n v="295090"/>
    <n v="7.89"/>
    <n v="11911"/>
    <n v="545"/>
  </r>
  <r>
    <x v="40"/>
    <x v="1"/>
    <n v="1159"/>
    <n v="154"/>
    <n v="194994"/>
    <n v="6.39"/>
    <n v="21900"/>
    <n v="1005"/>
  </r>
  <r>
    <x v="40"/>
    <x v="2"/>
    <n v="950"/>
    <n v="185"/>
    <n v="340750"/>
    <n v="6.77"/>
    <n v="25542"/>
    <n v="765"/>
  </r>
  <r>
    <x v="41"/>
    <x v="0"/>
    <n v="693"/>
    <n v="129"/>
    <n v="296031"/>
    <n v="3.41"/>
    <n v="7140"/>
    <n v="564"/>
  </r>
  <r>
    <x v="41"/>
    <x v="1"/>
    <n v="576"/>
    <n v="80"/>
    <n v="345688"/>
    <n v="4.1100000000000003"/>
    <n v="20474"/>
    <n v="496"/>
  </r>
  <r>
    <x v="41"/>
    <x v="2"/>
    <n v="1274"/>
    <n v="146"/>
    <n v="263488"/>
    <n v="9.58"/>
    <n v="8698"/>
    <n v="1128"/>
  </r>
  <r>
    <x v="42"/>
    <x v="0"/>
    <n v="818"/>
    <n v="253"/>
    <n v="184911"/>
    <n v="3.39"/>
    <n v="10402"/>
    <n v="565"/>
  </r>
  <r>
    <x v="42"/>
    <x v="1"/>
    <n v="975"/>
    <n v="162"/>
    <n v="124497"/>
    <n v="9.58"/>
    <n v="26618"/>
    <n v="813"/>
  </r>
  <r>
    <x v="42"/>
    <x v="2"/>
    <n v="1398"/>
    <n v="97"/>
    <n v="397607"/>
    <n v="5.09"/>
    <n v="7975"/>
    <n v="1301"/>
  </r>
  <r>
    <x v="43"/>
    <x v="0"/>
    <n v="591"/>
    <n v="155"/>
    <n v="138521"/>
    <n v="7.85"/>
    <n v="19054"/>
    <n v="436"/>
  </r>
  <r>
    <x v="43"/>
    <x v="1"/>
    <n v="1232"/>
    <n v="254"/>
    <n v="107718"/>
    <n v="9.7100000000000009"/>
    <n v="13740"/>
    <n v="978"/>
  </r>
  <r>
    <x v="43"/>
    <x v="2"/>
    <n v="1425"/>
    <n v="58"/>
    <n v="202234"/>
    <n v="6.67"/>
    <n v="18442"/>
    <n v="1367"/>
  </r>
  <r>
    <x v="44"/>
    <x v="0"/>
    <n v="1417"/>
    <n v="80"/>
    <n v="340987"/>
    <n v="6.13"/>
    <n v="10104"/>
    <n v="1337"/>
  </r>
  <r>
    <x v="44"/>
    <x v="1"/>
    <n v="1222"/>
    <n v="208"/>
    <n v="340098"/>
    <n v="7.34"/>
    <n v="21771"/>
    <n v="1014"/>
  </r>
  <r>
    <x v="44"/>
    <x v="2"/>
    <n v="1071"/>
    <n v="131"/>
    <n v="254727"/>
    <n v="6.87"/>
    <n v="22191"/>
    <n v="940"/>
  </r>
  <r>
    <x v="45"/>
    <x v="0"/>
    <n v="772"/>
    <n v="82"/>
    <n v="345659"/>
    <n v="3.52"/>
    <n v="27753"/>
    <n v="690"/>
  </r>
  <r>
    <x v="45"/>
    <x v="1"/>
    <n v="1472"/>
    <n v="137"/>
    <n v="213950"/>
    <n v="6.96"/>
    <n v="23736"/>
    <n v="1335"/>
  </r>
  <r>
    <x v="45"/>
    <x v="2"/>
    <n v="1472"/>
    <n v="281"/>
    <n v="258115"/>
    <n v="7.23"/>
    <n v="27393"/>
    <n v="1191"/>
  </r>
  <r>
    <x v="46"/>
    <x v="0"/>
    <n v="585"/>
    <n v="232"/>
    <n v="321258"/>
    <n v="7.42"/>
    <n v="10343"/>
    <n v="353"/>
  </r>
  <r>
    <x v="46"/>
    <x v="1"/>
    <n v="747"/>
    <n v="261"/>
    <n v="338650"/>
    <n v="7.73"/>
    <n v="25259"/>
    <n v="486"/>
  </r>
  <r>
    <x v="46"/>
    <x v="2"/>
    <n v="1113"/>
    <n v="224"/>
    <n v="272989"/>
    <n v="5.13"/>
    <n v="24827"/>
    <n v="889"/>
  </r>
  <r>
    <x v="47"/>
    <x v="0"/>
    <n v="1100"/>
    <n v="117"/>
    <n v="260204"/>
    <n v="4.4000000000000004"/>
    <n v="11908"/>
    <n v="983"/>
  </r>
  <r>
    <x v="47"/>
    <x v="1"/>
    <n v="751"/>
    <n v="170"/>
    <n v="283278"/>
    <n v="3.49"/>
    <n v="11005"/>
    <n v="581"/>
  </r>
  <r>
    <x v="47"/>
    <x v="2"/>
    <n v="864"/>
    <n v="50"/>
    <n v="277445"/>
    <n v="3.57"/>
    <n v="26333"/>
    <n v="814"/>
  </r>
  <r>
    <x v="48"/>
    <x v="0"/>
    <n v="1146"/>
    <n v="227"/>
    <n v="353781"/>
    <n v="6.41"/>
    <n v="5495"/>
    <n v="919"/>
  </r>
  <r>
    <x v="48"/>
    <x v="1"/>
    <n v="883"/>
    <n v="207"/>
    <n v="265019"/>
    <n v="6.04"/>
    <n v="15655"/>
    <n v="676"/>
  </r>
  <r>
    <x v="48"/>
    <x v="2"/>
    <n v="622"/>
    <n v="163"/>
    <n v="231925"/>
    <n v="9.18"/>
    <n v="13763"/>
    <n v="459"/>
  </r>
  <r>
    <x v="49"/>
    <x v="0"/>
    <n v="837"/>
    <n v="261"/>
    <n v="366149"/>
    <n v="6.54"/>
    <n v="26073"/>
    <n v="576"/>
  </r>
  <r>
    <x v="49"/>
    <x v="1"/>
    <n v="544"/>
    <n v="97"/>
    <n v="168375"/>
    <n v="8.66"/>
    <n v="12774"/>
    <n v="447"/>
  </r>
  <r>
    <x v="49"/>
    <x v="2"/>
    <n v="624"/>
    <n v="247"/>
    <n v="252763"/>
    <n v="3.89"/>
    <n v="19000"/>
    <n v="377"/>
  </r>
  <r>
    <x v="50"/>
    <x v="0"/>
    <n v="1073"/>
    <n v="141"/>
    <n v="118393"/>
    <n v="7.95"/>
    <n v="14051"/>
    <n v="932"/>
  </r>
  <r>
    <x v="50"/>
    <x v="1"/>
    <n v="1430"/>
    <n v="74"/>
    <n v="327012"/>
    <n v="6.66"/>
    <n v="27782"/>
    <n v="1356"/>
  </r>
  <r>
    <x v="50"/>
    <x v="2"/>
    <n v="1358"/>
    <n v="77"/>
    <n v="169688"/>
    <n v="5.25"/>
    <n v="7859"/>
    <n v="1281"/>
  </r>
  <r>
    <x v="51"/>
    <x v="0"/>
    <n v="1242"/>
    <n v="201"/>
    <n v="271935"/>
    <n v="5.07"/>
    <n v="15773"/>
    <n v="1041"/>
  </r>
  <r>
    <x v="51"/>
    <x v="1"/>
    <n v="1389"/>
    <n v="205"/>
    <n v="315981"/>
    <n v="7.62"/>
    <n v="20595"/>
    <n v="1184"/>
  </r>
  <r>
    <x v="51"/>
    <x v="2"/>
    <n v="826"/>
    <n v="142"/>
    <n v="341016"/>
    <n v="7.44"/>
    <n v="12031"/>
    <n v="684"/>
  </r>
  <r>
    <x v="52"/>
    <x v="0"/>
    <n v="618"/>
    <n v="264"/>
    <n v="285164"/>
    <n v="4.8600000000000003"/>
    <n v="15128"/>
    <n v="354"/>
  </r>
  <r>
    <x v="52"/>
    <x v="1"/>
    <n v="1419"/>
    <n v="293"/>
    <n v="116632"/>
    <n v="6.93"/>
    <n v="11826"/>
    <n v="1126"/>
  </r>
  <r>
    <x v="52"/>
    <x v="2"/>
    <n v="637"/>
    <n v="68"/>
    <n v="115694"/>
    <n v="9.99"/>
    <n v="12562"/>
    <n v="569"/>
  </r>
  <r>
    <x v="53"/>
    <x v="0"/>
    <n v="917"/>
    <n v="187"/>
    <n v="64444"/>
    <n v="5.22"/>
    <n v="13013"/>
    <n v="730"/>
  </r>
  <r>
    <x v="53"/>
    <x v="1"/>
    <n v="810"/>
    <n v="232"/>
    <n v="362559"/>
    <n v="5.17"/>
    <n v="12937"/>
    <n v="578"/>
  </r>
  <r>
    <x v="53"/>
    <x v="2"/>
    <n v="1183"/>
    <n v="248"/>
    <n v="226881"/>
    <n v="5.17"/>
    <n v="14534"/>
    <n v="935"/>
  </r>
  <r>
    <x v="54"/>
    <x v="0"/>
    <n v="765"/>
    <n v="67"/>
    <n v="283537"/>
    <n v="6.18"/>
    <n v="8182"/>
    <n v="698"/>
  </r>
  <r>
    <x v="54"/>
    <x v="1"/>
    <n v="540"/>
    <n v="215"/>
    <n v="62837"/>
    <n v="5.3"/>
    <n v="10615"/>
    <n v="325"/>
  </r>
  <r>
    <x v="54"/>
    <x v="2"/>
    <n v="1145"/>
    <n v="151"/>
    <n v="182759"/>
    <n v="5.99"/>
    <n v="20109"/>
    <n v="994"/>
  </r>
  <r>
    <x v="55"/>
    <x v="0"/>
    <n v="564"/>
    <n v="244"/>
    <n v="279405"/>
    <n v="8.43"/>
    <n v="26024"/>
    <n v="320"/>
  </r>
  <r>
    <x v="55"/>
    <x v="1"/>
    <n v="668"/>
    <n v="124"/>
    <n v="257485"/>
    <n v="7.55"/>
    <n v="26730"/>
    <n v="544"/>
  </r>
  <r>
    <x v="55"/>
    <x v="2"/>
    <n v="761"/>
    <n v="241"/>
    <n v="154977"/>
    <n v="5.63"/>
    <n v="10563"/>
    <n v="520"/>
  </r>
  <r>
    <x v="56"/>
    <x v="0"/>
    <n v="593"/>
    <n v="108"/>
    <n v="216500"/>
    <n v="4.71"/>
    <n v="27575"/>
    <n v="485"/>
  </r>
  <r>
    <x v="56"/>
    <x v="1"/>
    <n v="1349"/>
    <n v="115"/>
    <n v="102102"/>
    <n v="5.28"/>
    <n v="14479"/>
    <n v="1234"/>
  </r>
  <r>
    <x v="56"/>
    <x v="2"/>
    <n v="693"/>
    <n v="97"/>
    <n v="92025"/>
    <n v="5.95"/>
    <n v="15915"/>
    <n v="596"/>
  </r>
  <r>
    <x v="57"/>
    <x v="0"/>
    <n v="974"/>
    <n v="143"/>
    <n v="247965"/>
    <n v="9.98"/>
    <n v="12767"/>
    <n v="831"/>
  </r>
  <r>
    <x v="57"/>
    <x v="1"/>
    <n v="1155"/>
    <n v="122"/>
    <n v="387352"/>
    <n v="9.93"/>
    <n v="12170"/>
    <n v="1033"/>
  </r>
  <r>
    <x v="57"/>
    <x v="2"/>
    <n v="1051"/>
    <n v="246"/>
    <n v="253985"/>
    <n v="9.08"/>
    <n v="7245"/>
    <n v="805"/>
  </r>
  <r>
    <x v="58"/>
    <x v="0"/>
    <n v="1457"/>
    <n v="183"/>
    <n v="129640"/>
    <n v="7.98"/>
    <n v="12985"/>
    <n v="1274"/>
  </r>
  <r>
    <x v="58"/>
    <x v="1"/>
    <n v="670"/>
    <n v="242"/>
    <n v="281913"/>
    <n v="9.6199999999999992"/>
    <n v="16377"/>
    <n v="428"/>
  </r>
  <r>
    <x v="58"/>
    <x v="2"/>
    <n v="1111"/>
    <n v="159"/>
    <n v="360770"/>
    <n v="8.7100000000000009"/>
    <n v="11453"/>
    <n v="952"/>
  </r>
  <r>
    <x v="59"/>
    <x v="0"/>
    <n v="1197"/>
    <n v="246"/>
    <n v="127273"/>
    <n v="6.69"/>
    <n v="12323"/>
    <n v="951"/>
  </r>
  <r>
    <x v="59"/>
    <x v="1"/>
    <n v="754"/>
    <n v="150"/>
    <n v="189622"/>
    <n v="4.25"/>
    <n v="11911"/>
    <n v="604"/>
  </r>
  <r>
    <x v="59"/>
    <x v="2"/>
    <n v="1246"/>
    <n v="107"/>
    <n v="350949"/>
    <n v="4.9800000000000004"/>
    <n v="27809"/>
    <n v="1139"/>
  </r>
  <r>
    <x v="60"/>
    <x v="0"/>
    <n v="780"/>
    <n v="213"/>
    <n v="121431"/>
    <n v="4.97"/>
    <n v="21464"/>
    <n v="567"/>
  </r>
  <r>
    <x v="60"/>
    <x v="1"/>
    <n v="1425"/>
    <n v="143"/>
    <n v="116742"/>
    <n v="3.71"/>
    <n v="27126"/>
    <n v="1282"/>
  </r>
  <r>
    <x v="60"/>
    <x v="2"/>
    <n v="1490"/>
    <n v="103"/>
    <n v="81184"/>
    <n v="7.79"/>
    <n v="10681"/>
    <n v="1387"/>
  </r>
  <r>
    <x v="61"/>
    <x v="0"/>
    <n v="949"/>
    <n v="282"/>
    <n v="87126"/>
    <n v="4.96"/>
    <n v="5413"/>
    <n v="667"/>
  </r>
  <r>
    <x v="61"/>
    <x v="1"/>
    <n v="640"/>
    <n v="141"/>
    <n v="267546"/>
    <n v="8.58"/>
    <n v="25058"/>
    <n v="499"/>
  </r>
  <r>
    <x v="61"/>
    <x v="2"/>
    <n v="616"/>
    <n v="93"/>
    <n v="133082"/>
    <n v="8.51"/>
    <n v="18303"/>
    <n v="523"/>
  </r>
  <r>
    <x v="62"/>
    <x v="0"/>
    <n v="1080"/>
    <n v="184"/>
    <n v="340557"/>
    <n v="5.41"/>
    <n v="5526"/>
    <n v="896"/>
  </r>
  <r>
    <x v="62"/>
    <x v="1"/>
    <n v="938"/>
    <n v="236"/>
    <n v="116472"/>
    <n v="8.7200000000000006"/>
    <n v="17460"/>
    <n v="702"/>
  </r>
  <r>
    <x v="62"/>
    <x v="2"/>
    <n v="1007"/>
    <n v="258"/>
    <n v="113412"/>
    <n v="7.71"/>
    <n v="14475"/>
    <n v="749"/>
  </r>
  <r>
    <x v="63"/>
    <x v="0"/>
    <n v="541"/>
    <n v="208"/>
    <n v="157547"/>
    <n v="8.35"/>
    <n v="20162"/>
    <n v="333"/>
  </r>
  <r>
    <x v="63"/>
    <x v="1"/>
    <n v="745"/>
    <n v="98"/>
    <n v="354816"/>
    <n v="4.03"/>
    <n v="17103"/>
    <n v="647"/>
  </r>
  <r>
    <x v="63"/>
    <x v="2"/>
    <n v="936"/>
    <n v="97"/>
    <n v="151799"/>
    <n v="9.3699999999999992"/>
    <n v="15461"/>
    <n v="839"/>
  </r>
  <r>
    <x v="64"/>
    <x v="0"/>
    <n v="1183"/>
    <n v="223"/>
    <n v="143811"/>
    <n v="6.07"/>
    <n v="22103"/>
    <n v="960"/>
  </r>
  <r>
    <x v="64"/>
    <x v="1"/>
    <n v="1413"/>
    <n v="245"/>
    <n v="296450"/>
    <n v="6.52"/>
    <n v="11625"/>
    <n v="1168"/>
  </r>
  <r>
    <x v="64"/>
    <x v="2"/>
    <n v="791"/>
    <n v="273"/>
    <n v="144049"/>
    <n v="3.08"/>
    <n v="5281"/>
    <n v="518"/>
  </r>
  <r>
    <x v="65"/>
    <x v="0"/>
    <n v="1052"/>
    <n v="180"/>
    <n v="272534"/>
    <n v="5.34"/>
    <n v="13424"/>
    <n v="872"/>
  </r>
  <r>
    <x v="65"/>
    <x v="1"/>
    <n v="572"/>
    <n v="270"/>
    <n v="82265"/>
    <n v="3.65"/>
    <n v="13140"/>
    <n v="302"/>
  </r>
  <r>
    <x v="65"/>
    <x v="2"/>
    <n v="503"/>
    <n v="253"/>
    <n v="313562"/>
    <n v="4.18"/>
    <n v="19538"/>
    <n v="250"/>
  </r>
  <r>
    <x v="66"/>
    <x v="0"/>
    <n v="1017"/>
    <n v="197"/>
    <n v="89918"/>
    <n v="3.91"/>
    <n v="7881"/>
    <n v="820"/>
  </r>
  <r>
    <x v="66"/>
    <x v="1"/>
    <n v="860"/>
    <n v="244"/>
    <n v="348686"/>
    <n v="5.12"/>
    <n v="11418"/>
    <n v="6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n v="9.92"/>
    <n v="23125"/>
    <n v="1334"/>
  </r>
  <r>
    <x v="0"/>
    <s v="Twitter"/>
    <n v="995"/>
    <n v="86"/>
    <n v="227958"/>
    <n v="8.0500000000000007"/>
    <n v="22788"/>
    <n v="909"/>
  </r>
  <r>
    <x v="0"/>
    <s v="YouTube"/>
    <n v="1472"/>
    <n v="296"/>
    <n v="370242"/>
    <n v="7.72"/>
    <n v="7810"/>
    <n v="1176"/>
  </r>
  <r>
    <x v="1"/>
    <s v="Instagram"/>
    <n v="1018"/>
    <n v="90"/>
    <n v="92474"/>
    <n v="9.4"/>
    <n v="11966"/>
    <n v="928"/>
  </r>
  <r>
    <x v="1"/>
    <s v="Twitter"/>
    <n v="1461"/>
    <n v="64"/>
    <n v="328902"/>
    <n v="9.02"/>
    <n v="26298"/>
    <n v="1397"/>
  </r>
  <r>
    <x v="1"/>
    <s v="YouTube"/>
    <n v="545"/>
    <n v="93"/>
    <n v="391621"/>
    <n v="9.9600000000000009"/>
    <n v="22029"/>
    <n v="452"/>
  </r>
  <r>
    <x v="2"/>
    <s v="Instagram"/>
    <n v="881"/>
    <n v="291"/>
    <n v="95885"/>
    <n v="5.29"/>
    <n v="12391"/>
    <n v="590"/>
  </r>
  <r>
    <x v="2"/>
    <s v="Twitter"/>
    <n v="1414"/>
    <n v="131"/>
    <n v="245947"/>
    <n v="8.3000000000000007"/>
    <n v="14477"/>
    <n v="1283"/>
  </r>
  <r>
    <x v="2"/>
    <s v="YouTube"/>
    <n v="1472"/>
    <n v="170"/>
    <n v="250428"/>
    <n v="4.66"/>
    <n v="25040"/>
    <n v="1302"/>
  </r>
  <r>
    <x v="3"/>
    <s v="Instagram"/>
    <n v="809"/>
    <n v="197"/>
    <n v="87186"/>
    <n v="9.48"/>
    <n v="22619"/>
    <n v="612"/>
  </r>
  <r>
    <x v="3"/>
    <s v="Twitter"/>
    <n v="1371"/>
    <n v="250"/>
    <n v="128620"/>
    <n v="7.11"/>
    <n v="12399"/>
    <n v="1121"/>
  </r>
  <r>
    <x v="3"/>
    <s v="YouTube"/>
    <n v="844"/>
    <n v="144"/>
    <n v="126015"/>
    <n v="9.65"/>
    <n v="22456"/>
    <n v="700"/>
  </r>
  <r>
    <x v="4"/>
    <s v="Instagram"/>
    <n v="786"/>
    <n v="72"/>
    <n v="178615"/>
    <n v="5.43"/>
    <n v="19328"/>
    <n v="714"/>
  </r>
  <r>
    <x v="4"/>
    <s v="Twitter"/>
    <n v="845"/>
    <n v="250"/>
    <n v="218228"/>
    <n v="4.5199999999999996"/>
    <n v="21107"/>
    <n v="595"/>
  </r>
  <r>
    <x v="4"/>
    <s v="YouTube"/>
    <n v="1218"/>
    <n v="101"/>
    <n v="300397"/>
    <n v="4.33"/>
    <n v="12277"/>
    <n v="1117"/>
  </r>
  <r>
    <x v="5"/>
    <s v="Instagram"/>
    <n v="797"/>
    <n v="130"/>
    <n v="340121"/>
    <n v="8.52"/>
    <n v="11684"/>
    <n v="667"/>
  </r>
  <r>
    <x v="5"/>
    <s v="Twitter"/>
    <n v="1471"/>
    <n v="100"/>
    <n v="76866"/>
    <n v="8.5500000000000007"/>
    <n v="14412"/>
    <n v="1371"/>
  </r>
  <r>
    <x v="5"/>
    <s v="YouTube"/>
    <n v="1253"/>
    <n v="136"/>
    <n v="193131"/>
    <n v="7.99"/>
    <n v="15924"/>
    <n v="1117"/>
  </r>
  <r>
    <x v="6"/>
    <s v="Instagram"/>
    <n v="616"/>
    <n v="257"/>
    <n v="169665"/>
    <n v="6.31"/>
    <n v="12390"/>
    <n v="359"/>
  </r>
  <r>
    <x v="6"/>
    <s v="Twitter"/>
    <n v="1308"/>
    <n v="210"/>
    <n v="263729"/>
    <n v="8.5299999999999994"/>
    <n v="25742"/>
    <n v="1098"/>
  </r>
  <r>
    <x v="6"/>
    <s v="YouTube"/>
    <n v="981"/>
    <n v="69"/>
    <n v="206921"/>
    <n v="8.42"/>
    <n v="10495"/>
    <n v="912"/>
  </r>
  <r>
    <x v="7"/>
    <s v="Instagram"/>
    <n v="866"/>
    <n v="74"/>
    <n v="204121"/>
    <n v="9.34"/>
    <n v="7797"/>
    <n v="792"/>
  </r>
  <r>
    <x v="7"/>
    <s v="Twitter"/>
    <n v="547"/>
    <n v="183"/>
    <n v="266350"/>
    <n v="5.65"/>
    <n v="15595"/>
    <n v="364"/>
  </r>
  <r>
    <x v="7"/>
    <s v="YouTube"/>
    <n v="1241"/>
    <n v="116"/>
    <n v="380606"/>
    <n v="4.2"/>
    <n v="24617"/>
    <n v="1125"/>
  </r>
  <r>
    <x v="8"/>
    <s v="Instagram"/>
    <n v="973"/>
    <n v="104"/>
    <n v="376358"/>
    <n v="3.87"/>
    <n v="9847"/>
    <n v="869"/>
  </r>
  <r>
    <x v="8"/>
    <s v="Twitter"/>
    <n v="611"/>
    <n v="197"/>
    <n v="79423"/>
    <n v="5.82"/>
    <n v="13644"/>
    <n v="414"/>
  </r>
  <r>
    <x v="8"/>
    <s v="YouTube"/>
    <n v="983"/>
    <n v="134"/>
    <n v="352178"/>
    <n v="3.55"/>
    <n v="11421"/>
    <n v="849"/>
  </r>
  <r>
    <x v="9"/>
    <s v="Instagram"/>
    <n v="1449"/>
    <n v="96"/>
    <n v="200636"/>
    <n v="9.92"/>
    <n v="15613"/>
    <n v="1353"/>
  </r>
  <r>
    <x v="9"/>
    <s v="Twitter"/>
    <n v="752"/>
    <n v="170"/>
    <n v="132756"/>
    <n v="8.17"/>
    <n v="23900"/>
    <n v="582"/>
  </r>
  <r>
    <x v="9"/>
    <s v="YouTube"/>
    <n v="937"/>
    <n v="179"/>
    <n v="318098"/>
    <n v="5.3"/>
    <n v="5836"/>
    <n v="758"/>
  </r>
  <r>
    <x v="10"/>
    <s v="Instagram"/>
    <n v="1060"/>
    <n v="83"/>
    <n v="68724"/>
    <n v="5.98"/>
    <n v="5624"/>
    <n v="977"/>
  </r>
  <r>
    <x v="10"/>
    <s v="Twitter"/>
    <n v="1456"/>
    <n v="265"/>
    <n v="115505"/>
    <n v="7.49"/>
    <n v="10311"/>
    <n v="1191"/>
  </r>
  <r>
    <x v="10"/>
    <s v="YouTube"/>
    <n v="1109"/>
    <n v="205"/>
    <n v="276722"/>
    <n v="9.3800000000000008"/>
    <n v="8274"/>
    <n v="904"/>
  </r>
  <r>
    <x v="11"/>
    <s v="Instagram"/>
    <n v="1002"/>
    <n v="93"/>
    <n v="353538"/>
    <n v="5.84"/>
    <n v="6031"/>
    <n v="909"/>
  </r>
  <r>
    <x v="11"/>
    <s v="Twitter"/>
    <n v="571"/>
    <n v="189"/>
    <n v="61445"/>
    <n v="5.41"/>
    <n v="27829"/>
    <n v="382"/>
  </r>
  <r>
    <x v="11"/>
    <s v="YouTube"/>
    <n v="1240"/>
    <n v="231"/>
    <n v="165035"/>
    <n v="6.05"/>
    <n v="18267"/>
    <n v="1009"/>
  </r>
  <r>
    <x v="12"/>
    <s v="Instagram"/>
    <n v="1154"/>
    <n v="132"/>
    <n v="194595"/>
    <n v="7.54"/>
    <n v="26624"/>
    <n v="1022"/>
  </r>
  <r>
    <x v="12"/>
    <s v="Twitter"/>
    <n v="537"/>
    <n v="275"/>
    <n v="236238"/>
    <n v="5.87"/>
    <n v="26644"/>
    <n v="262"/>
  </r>
  <r>
    <x v="12"/>
    <s v="YouTube"/>
    <n v="1456"/>
    <n v="290"/>
    <n v="271044"/>
    <n v="7.17"/>
    <n v="13051"/>
    <n v="1166"/>
  </r>
  <r>
    <x v="13"/>
    <s v="Instagram"/>
    <n v="721"/>
    <n v="206"/>
    <n v="334887"/>
    <n v="6.05"/>
    <n v="14217"/>
    <n v="515"/>
  </r>
  <r>
    <x v="13"/>
    <s v="Twitter"/>
    <n v="1098"/>
    <n v="142"/>
    <n v="359150"/>
    <n v="7.51"/>
    <n v="16385"/>
    <n v="956"/>
  </r>
  <r>
    <x v="13"/>
    <s v="YouTube"/>
    <n v="1096"/>
    <n v="65"/>
    <n v="358295"/>
    <n v="7.66"/>
    <n v="24548"/>
    <n v="1031"/>
  </r>
  <r>
    <x v="14"/>
    <s v="Instagram"/>
    <n v="912"/>
    <n v="275"/>
    <n v="368454"/>
    <n v="6.03"/>
    <n v="9195"/>
    <n v="637"/>
  </r>
  <r>
    <x v="14"/>
    <s v="Twitter"/>
    <n v="1430"/>
    <n v="162"/>
    <n v="269082"/>
    <n v="3.4"/>
    <n v="18071"/>
    <n v="1268"/>
  </r>
  <r>
    <x v="14"/>
    <s v="YouTube"/>
    <n v="854"/>
    <n v="129"/>
    <n v="310903"/>
    <n v="7.83"/>
    <n v="16875"/>
    <n v="725"/>
  </r>
  <r>
    <x v="15"/>
    <s v="Instagram"/>
    <n v="681"/>
    <n v="210"/>
    <n v="248581"/>
    <n v="8.76"/>
    <n v="9567"/>
    <n v="471"/>
  </r>
  <r>
    <x v="15"/>
    <s v="Twitter"/>
    <n v="1373"/>
    <n v="82"/>
    <n v="371015"/>
    <n v="9.52"/>
    <n v="20306"/>
    <n v="1291"/>
  </r>
  <r>
    <x v="15"/>
    <s v="YouTube"/>
    <n v="685"/>
    <n v="285"/>
    <n v="177452"/>
    <n v="3.36"/>
    <n v="21134"/>
    <n v="400"/>
  </r>
  <r>
    <x v="16"/>
    <s v="Instagram"/>
    <n v="1290"/>
    <n v="177"/>
    <n v="80745"/>
    <n v="9.2200000000000006"/>
    <n v="26872"/>
    <n v="1113"/>
  </r>
  <r>
    <x v="16"/>
    <s v="Twitter"/>
    <n v="1437"/>
    <n v="239"/>
    <n v="362441"/>
    <n v="5.57"/>
    <n v="10253"/>
    <n v="1198"/>
  </r>
  <r>
    <x v="16"/>
    <s v="YouTube"/>
    <n v="769"/>
    <n v="295"/>
    <n v="344771"/>
    <n v="8.06"/>
    <n v="23963"/>
    <n v="474"/>
  </r>
  <r>
    <x v="17"/>
    <s v="Instagram"/>
    <n v="1416"/>
    <n v="284"/>
    <n v="374952"/>
    <n v="3.45"/>
    <n v="11335"/>
    <n v="1132"/>
  </r>
  <r>
    <x v="17"/>
    <s v="Twitter"/>
    <n v="998"/>
    <n v="154"/>
    <n v="179781"/>
    <n v="9.58"/>
    <n v="12115"/>
    <n v="844"/>
  </r>
  <r>
    <x v="17"/>
    <s v="YouTube"/>
    <n v="1421"/>
    <n v="246"/>
    <n v="358581"/>
    <n v="8.8800000000000008"/>
    <n v="24358"/>
    <n v="1175"/>
  </r>
  <r>
    <x v="18"/>
    <s v="Instagram"/>
    <n v="764"/>
    <n v="205"/>
    <n v="319294"/>
    <n v="6.23"/>
    <n v="12181"/>
    <n v="559"/>
  </r>
  <r>
    <x v="18"/>
    <s v="Twitter"/>
    <n v="678"/>
    <n v="124"/>
    <n v="192022"/>
    <n v="8.4499999999999993"/>
    <n v="17729"/>
    <n v="554"/>
  </r>
  <r>
    <x v="18"/>
    <s v="YouTube"/>
    <n v="1328"/>
    <n v="103"/>
    <n v="151462"/>
    <n v="8.4"/>
    <n v="10881"/>
    <n v="1225"/>
  </r>
  <r>
    <x v="19"/>
    <s v="Instagram"/>
    <n v="1161"/>
    <n v="269"/>
    <n v="188193"/>
    <n v="7.34"/>
    <n v="18576"/>
    <n v="892"/>
  </r>
  <r>
    <x v="19"/>
    <s v="Twitter"/>
    <n v="588"/>
    <n v="52"/>
    <n v="292040"/>
    <n v="8.14"/>
    <n v="9383"/>
    <n v="536"/>
  </r>
  <r>
    <x v="19"/>
    <s v="YouTube"/>
    <n v="1457"/>
    <n v="215"/>
    <n v="325325"/>
    <n v="9.58"/>
    <n v="14178"/>
    <n v="1242"/>
  </r>
  <r>
    <x v="20"/>
    <s v="Instagram"/>
    <n v="1190"/>
    <n v="242"/>
    <n v="86849"/>
    <n v="8.06"/>
    <n v="21254"/>
    <n v="948"/>
  </r>
  <r>
    <x v="20"/>
    <s v="Twitter"/>
    <n v="886"/>
    <n v="124"/>
    <n v="141161"/>
    <n v="8.19"/>
    <n v="14215"/>
    <n v="762"/>
  </r>
  <r>
    <x v="20"/>
    <s v="YouTube"/>
    <n v="1237"/>
    <n v="155"/>
    <n v="149916"/>
    <n v="4.4800000000000004"/>
    <n v="16921"/>
    <n v="1082"/>
  </r>
  <r>
    <x v="21"/>
    <s v="Instagram"/>
    <n v="1435"/>
    <n v="261"/>
    <n v="308533"/>
    <n v="4.5199999999999996"/>
    <n v="25130"/>
    <n v="1174"/>
  </r>
  <r>
    <x v="21"/>
    <s v="Twitter"/>
    <n v="746"/>
    <n v="282"/>
    <n v="293894"/>
    <n v="5.42"/>
    <n v="25537"/>
    <n v="464"/>
  </r>
  <r>
    <x v="21"/>
    <s v="YouTube"/>
    <n v="759"/>
    <n v="216"/>
    <n v="147656"/>
    <n v="4.08"/>
    <n v="24943"/>
    <n v="543"/>
  </r>
  <r>
    <x v="22"/>
    <s v="Instagram"/>
    <n v="1437"/>
    <n v="235"/>
    <n v="326791"/>
    <n v="4.0599999999999996"/>
    <n v="14563"/>
    <n v="1202"/>
  </r>
  <r>
    <x v="22"/>
    <s v="Twitter"/>
    <n v="1463"/>
    <n v="73"/>
    <n v="348877"/>
    <n v="9.91"/>
    <n v="26273"/>
    <n v="1390"/>
  </r>
  <r>
    <x v="22"/>
    <s v="YouTube"/>
    <n v="1208"/>
    <n v="224"/>
    <n v="122730"/>
    <n v="8.7200000000000006"/>
    <n v="10858"/>
    <n v="984"/>
  </r>
  <r>
    <x v="23"/>
    <s v="Instagram"/>
    <n v="1391"/>
    <n v="187"/>
    <n v="306508"/>
    <n v="8.3800000000000008"/>
    <n v="25038"/>
    <n v="1204"/>
  </r>
  <r>
    <x v="23"/>
    <s v="Twitter"/>
    <n v="655"/>
    <n v="123"/>
    <n v="202472"/>
    <n v="7.56"/>
    <n v="9092"/>
    <n v="532"/>
  </r>
  <r>
    <x v="23"/>
    <s v="YouTube"/>
    <n v="1148"/>
    <n v="90"/>
    <n v="227249"/>
    <n v="7.24"/>
    <n v="17662"/>
    <n v="1058"/>
  </r>
  <r>
    <x v="24"/>
    <s v="Instagram"/>
    <n v="946"/>
    <n v="270"/>
    <n v="246567"/>
    <n v="4.53"/>
    <n v="5924"/>
    <n v="676"/>
  </r>
  <r>
    <x v="24"/>
    <s v="Twitter"/>
    <n v="791"/>
    <n v="214"/>
    <n v="114738"/>
    <n v="6.62"/>
    <n v="25347"/>
    <n v="577"/>
  </r>
  <r>
    <x v="24"/>
    <s v="YouTube"/>
    <n v="793"/>
    <n v="111"/>
    <n v="333500"/>
    <n v="6.36"/>
    <n v="8910"/>
    <n v="682"/>
  </r>
  <r>
    <x v="25"/>
    <s v="Instagram"/>
    <n v="663"/>
    <n v="213"/>
    <n v="352677"/>
    <n v="9"/>
    <n v="20438"/>
    <n v="450"/>
  </r>
  <r>
    <x v="25"/>
    <s v="Twitter"/>
    <n v="954"/>
    <n v="271"/>
    <n v="160936"/>
    <n v="8.83"/>
    <n v="8760"/>
    <n v="683"/>
  </r>
  <r>
    <x v="25"/>
    <s v="YouTube"/>
    <n v="1313"/>
    <n v="159"/>
    <n v="197183"/>
    <n v="9.7100000000000009"/>
    <n v="6625"/>
    <n v="1154"/>
  </r>
  <r>
    <x v="26"/>
    <s v="Instagram"/>
    <n v="895"/>
    <n v="87"/>
    <n v="171271"/>
    <n v="6.68"/>
    <n v="23329"/>
    <n v="808"/>
  </r>
  <r>
    <x v="26"/>
    <s v="Twitter"/>
    <n v="1027"/>
    <n v="156"/>
    <n v="111293"/>
    <n v="5.51"/>
    <n v="7299"/>
    <n v="871"/>
  </r>
  <r>
    <x v="26"/>
    <s v="YouTube"/>
    <n v="990"/>
    <n v="286"/>
    <n v="351493"/>
    <n v="7.97"/>
    <n v="14496"/>
    <n v="704"/>
  </r>
  <r>
    <x v="27"/>
    <s v="Instagram"/>
    <n v="875"/>
    <n v="264"/>
    <n v="345631"/>
    <n v="9.18"/>
    <n v="25703"/>
    <n v="611"/>
  </r>
  <r>
    <x v="27"/>
    <s v="Twitter"/>
    <n v="599"/>
    <n v="194"/>
    <n v="105622"/>
    <n v="6.44"/>
    <n v="15108"/>
    <n v="405"/>
  </r>
  <r>
    <x v="27"/>
    <s v="YouTube"/>
    <n v="630"/>
    <n v="248"/>
    <n v="119054"/>
    <n v="5.0199999999999996"/>
    <n v="18867"/>
    <n v="382"/>
  </r>
  <r>
    <x v="28"/>
    <s v="Instagram"/>
    <n v="1350"/>
    <n v="233"/>
    <n v="171670"/>
    <n v="4.53"/>
    <n v="17574"/>
    <n v="1117"/>
  </r>
  <r>
    <x v="28"/>
    <s v="Twitter"/>
    <n v="632"/>
    <n v="155"/>
    <n v="170432"/>
    <n v="9.17"/>
    <n v="12840"/>
    <n v="477"/>
  </r>
  <r>
    <x v="28"/>
    <s v="YouTube"/>
    <n v="1182"/>
    <n v="83"/>
    <n v="140300"/>
    <n v="3.27"/>
    <n v="21079"/>
    <n v="1099"/>
  </r>
  <r>
    <x v="29"/>
    <s v="Instagram"/>
    <n v="661"/>
    <n v="94"/>
    <n v="116538"/>
    <n v="5.31"/>
    <n v="23486"/>
    <n v="567"/>
  </r>
  <r>
    <x v="29"/>
    <s v="Twitter"/>
    <n v="1360"/>
    <n v="227"/>
    <n v="176902"/>
    <n v="6.03"/>
    <n v="5960"/>
    <n v="1133"/>
  </r>
  <r>
    <x v="29"/>
    <s v="YouTube"/>
    <n v="935"/>
    <n v="85"/>
    <n v="326821"/>
    <n v="8.89"/>
    <n v="13301"/>
    <n v="850"/>
  </r>
  <r>
    <x v="30"/>
    <s v="Instagram"/>
    <n v="664"/>
    <n v="251"/>
    <n v="240598"/>
    <n v="4.79"/>
    <n v="10563"/>
    <n v="413"/>
  </r>
  <r>
    <x v="30"/>
    <s v="Twitter"/>
    <n v="1490"/>
    <n v="103"/>
    <n v="373274"/>
    <n v="4.8"/>
    <n v="19949"/>
    <n v="1387"/>
  </r>
  <r>
    <x v="30"/>
    <s v="YouTube"/>
    <n v="601"/>
    <n v="64"/>
    <n v="123272"/>
    <n v="4.07"/>
    <n v="14273"/>
    <n v="537"/>
  </r>
  <r>
    <x v="31"/>
    <s v="Instagram"/>
    <n v="613"/>
    <n v="170"/>
    <n v="139266"/>
    <n v="6.06"/>
    <n v="9247"/>
    <n v="443"/>
  </r>
  <r>
    <x v="31"/>
    <s v="Twitter"/>
    <n v="1340"/>
    <n v="57"/>
    <n v="155927"/>
    <n v="7.79"/>
    <n v="11972"/>
    <n v="1283"/>
  </r>
  <r>
    <x v="31"/>
    <s v="YouTube"/>
    <n v="953"/>
    <n v="228"/>
    <n v="258398"/>
    <n v="9.0500000000000007"/>
    <n v="13314"/>
    <n v="725"/>
  </r>
  <r>
    <x v="32"/>
    <s v="Instagram"/>
    <n v="532"/>
    <n v="65"/>
    <n v="338561"/>
    <n v="3.5"/>
    <n v="14749"/>
    <n v="467"/>
  </r>
  <r>
    <x v="32"/>
    <s v="Twitter"/>
    <n v="1414"/>
    <n v="60"/>
    <n v="341856"/>
    <n v="8.76"/>
    <n v="6868"/>
    <n v="1354"/>
  </r>
  <r>
    <x v="32"/>
    <s v="YouTube"/>
    <n v="685"/>
    <n v="165"/>
    <n v="175860"/>
    <n v="6.26"/>
    <n v="6027"/>
    <n v="520"/>
  </r>
  <r>
    <x v="33"/>
    <s v="Instagram"/>
    <n v="601"/>
    <n v="159"/>
    <n v="327722"/>
    <n v="3.33"/>
    <n v="25267"/>
    <n v="442"/>
  </r>
  <r>
    <x v="33"/>
    <s v="Twitter"/>
    <n v="841"/>
    <n v="295"/>
    <n v="271638"/>
    <n v="9.15"/>
    <n v="5900"/>
    <n v="546"/>
  </r>
  <r>
    <x v="33"/>
    <s v="YouTube"/>
    <n v="1105"/>
    <n v="261"/>
    <n v="333851"/>
    <n v="6.03"/>
    <n v="11181"/>
    <n v="844"/>
  </r>
  <r>
    <x v="34"/>
    <s v="Instagram"/>
    <n v="566"/>
    <n v="225"/>
    <n v="368984"/>
    <n v="9.82"/>
    <n v="9592"/>
    <n v="341"/>
  </r>
  <r>
    <x v="34"/>
    <s v="Twitter"/>
    <n v="1149"/>
    <n v="280"/>
    <n v="167310"/>
    <n v="3.7"/>
    <n v="5291"/>
    <n v="869"/>
  </r>
  <r>
    <x v="34"/>
    <s v="YouTube"/>
    <n v="819"/>
    <n v="101"/>
    <n v="194811"/>
    <n v="3.35"/>
    <n v="22244"/>
    <n v="718"/>
  </r>
  <r>
    <x v="35"/>
    <s v="Instagram"/>
    <n v="795"/>
    <n v="60"/>
    <n v="314982"/>
    <n v="7.31"/>
    <n v="6824"/>
    <n v="735"/>
  </r>
  <r>
    <x v="35"/>
    <s v="Twitter"/>
    <n v="681"/>
    <n v="158"/>
    <n v="75960"/>
    <n v="3.13"/>
    <n v="24112"/>
    <n v="523"/>
  </r>
  <r>
    <x v="35"/>
    <s v="YouTube"/>
    <n v="534"/>
    <n v="112"/>
    <n v="360759"/>
    <n v="4.8899999999999997"/>
    <n v="25478"/>
    <n v="422"/>
  </r>
  <r>
    <x v="36"/>
    <s v="Instagram"/>
    <n v="1066"/>
    <n v="151"/>
    <n v="297090"/>
    <n v="8.6300000000000008"/>
    <n v="11235"/>
    <n v="915"/>
  </r>
  <r>
    <x v="36"/>
    <s v="Twitter"/>
    <n v="1270"/>
    <n v="162"/>
    <n v="92040"/>
    <n v="8.0299999999999994"/>
    <n v="6120"/>
    <n v="1108"/>
  </r>
  <r>
    <x v="36"/>
    <s v="YouTube"/>
    <n v="536"/>
    <n v="198"/>
    <n v="174610"/>
    <n v="7.85"/>
    <n v="20572"/>
    <n v="338"/>
  </r>
  <r>
    <x v="37"/>
    <s v="Instagram"/>
    <n v="819"/>
    <n v="95"/>
    <n v="177376"/>
    <n v="6.12"/>
    <n v="14975"/>
    <n v="724"/>
  </r>
  <r>
    <x v="37"/>
    <s v="Twitter"/>
    <n v="681"/>
    <n v="218"/>
    <n v="198882"/>
    <n v="7.16"/>
    <n v="22234"/>
    <n v="463"/>
  </r>
  <r>
    <x v="37"/>
    <s v="YouTube"/>
    <n v="646"/>
    <n v="290"/>
    <n v="336383"/>
    <n v="7.04"/>
    <n v="6532"/>
    <n v="356"/>
  </r>
  <r>
    <x v="38"/>
    <s v="Instagram"/>
    <n v="645"/>
    <n v="267"/>
    <n v="346890"/>
    <n v="3.71"/>
    <n v="24858"/>
    <n v="378"/>
  </r>
  <r>
    <x v="38"/>
    <s v="Twitter"/>
    <n v="886"/>
    <n v="250"/>
    <n v="168170"/>
    <n v="4.12"/>
    <n v="13883"/>
    <n v="636"/>
  </r>
  <r>
    <x v="38"/>
    <s v="YouTube"/>
    <n v="978"/>
    <n v="279"/>
    <n v="368872"/>
    <n v="6.82"/>
    <n v="18654"/>
    <n v="699"/>
  </r>
  <r>
    <x v="39"/>
    <s v="Instagram"/>
    <n v="1444"/>
    <n v="165"/>
    <n v="116436"/>
    <n v="8.2200000000000006"/>
    <n v="25234"/>
    <n v="1279"/>
  </r>
  <r>
    <x v="39"/>
    <s v="Twitter"/>
    <n v="1234"/>
    <n v="228"/>
    <n v="127502"/>
    <n v="7.71"/>
    <n v="6772"/>
    <n v="1006"/>
  </r>
  <r>
    <x v="39"/>
    <s v="YouTube"/>
    <n v="665"/>
    <n v="187"/>
    <n v="274567"/>
    <n v="7.39"/>
    <n v="22428"/>
    <n v="478"/>
  </r>
  <r>
    <x v="40"/>
    <s v="Instagram"/>
    <n v="631"/>
    <n v="86"/>
    <n v="295090"/>
    <n v="7.89"/>
    <n v="11911"/>
    <n v="545"/>
  </r>
  <r>
    <x v="40"/>
    <s v="Twitter"/>
    <n v="1159"/>
    <n v="154"/>
    <n v="194994"/>
    <n v="6.39"/>
    <n v="21900"/>
    <n v="1005"/>
  </r>
  <r>
    <x v="40"/>
    <s v="YouTube"/>
    <n v="950"/>
    <n v="185"/>
    <n v="340750"/>
    <n v="6.77"/>
    <n v="25542"/>
    <n v="765"/>
  </r>
  <r>
    <x v="41"/>
    <s v="Instagram"/>
    <n v="693"/>
    <n v="129"/>
    <n v="296031"/>
    <n v="3.41"/>
    <n v="7140"/>
    <n v="564"/>
  </r>
  <r>
    <x v="41"/>
    <s v="Twitter"/>
    <n v="576"/>
    <n v="80"/>
    <n v="345688"/>
    <n v="4.1100000000000003"/>
    <n v="20474"/>
    <n v="496"/>
  </r>
  <r>
    <x v="41"/>
    <s v="YouTube"/>
    <n v="1274"/>
    <n v="146"/>
    <n v="263488"/>
    <n v="9.58"/>
    <n v="8698"/>
    <n v="1128"/>
  </r>
  <r>
    <x v="42"/>
    <s v="Instagram"/>
    <n v="818"/>
    <n v="253"/>
    <n v="184911"/>
    <n v="3.39"/>
    <n v="10402"/>
    <n v="565"/>
  </r>
  <r>
    <x v="42"/>
    <s v="Twitter"/>
    <n v="975"/>
    <n v="162"/>
    <n v="124497"/>
    <n v="9.58"/>
    <n v="26618"/>
    <n v="813"/>
  </r>
  <r>
    <x v="42"/>
    <s v="YouTube"/>
    <n v="1398"/>
    <n v="97"/>
    <n v="397607"/>
    <n v="5.09"/>
    <n v="7975"/>
    <n v="1301"/>
  </r>
  <r>
    <x v="43"/>
    <s v="Instagram"/>
    <n v="591"/>
    <n v="155"/>
    <n v="138521"/>
    <n v="7.85"/>
    <n v="19054"/>
    <n v="436"/>
  </r>
  <r>
    <x v="43"/>
    <s v="Twitter"/>
    <n v="1232"/>
    <n v="254"/>
    <n v="107718"/>
    <n v="9.7100000000000009"/>
    <n v="13740"/>
    <n v="978"/>
  </r>
  <r>
    <x v="43"/>
    <s v="YouTube"/>
    <n v="1425"/>
    <n v="58"/>
    <n v="202234"/>
    <n v="6.67"/>
    <n v="18442"/>
    <n v="1367"/>
  </r>
  <r>
    <x v="44"/>
    <s v="Instagram"/>
    <n v="1417"/>
    <n v="80"/>
    <n v="340987"/>
    <n v="6.13"/>
    <n v="10104"/>
    <n v="1337"/>
  </r>
  <r>
    <x v="44"/>
    <s v="Twitter"/>
    <n v="1222"/>
    <n v="208"/>
    <n v="340098"/>
    <n v="7.34"/>
    <n v="21771"/>
    <n v="1014"/>
  </r>
  <r>
    <x v="44"/>
    <s v="YouTube"/>
    <n v="1071"/>
    <n v="131"/>
    <n v="254727"/>
    <n v="6.87"/>
    <n v="22191"/>
    <n v="940"/>
  </r>
  <r>
    <x v="45"/>
    <s v="Instagram"/>
    <n v="772"/>
    <n v="82"/>
    <n v="345659"/>
    <n v="3.52"/>
    <n v="27753"/>
    <n v="690"/>
  </r>
  <r>
    <x v="45"/>
    <s v="Twitter"/>
    <n v="1472"/>
    <n v="137"/>
    <n v="213950"/>
    <n v="6.96"/>
    <n v="23736"/>
    <n v="1335"/>
  </r>
  <r>
    <x v="45"/>
    <s v="YouTube"/>
    <n v="1472"/>
    <n v="281"/>
    <n v="258115"/>
    <n v="7.23"/>
    <n v="27393"/>
    <n v="1191"/>
  </r>
  <r>
    <x v="46"/>
    <s v="Instagram"/>
    <n v="585"/>
    <n v="232"/>
    <n v="321258"/>
    <n v="7.42"/>
    <n v="10343"/>
    <n v="353"/>
  </r>
  <r>
    <x v="46"/>
    <s v="Twitter"/>
    <n v="747"/>
    <n v="261"/>
    <n v="338650"/>
    <n v="7.73"/>
    <n v="25259"/>
    <n v="486"/>
  </r>
  <r>
    <x v="46"/>
    <s v="YouTube"/>
    <n v="1113"/>
    <n v="224"/>
    <n v="272989"/>
    <n v="5.13"/>
    <n v="24827"/>
    <n v="889"/>
  </r>
  <r>
    <x v="47"/>
    <s v="Instagram"/>
    <n v="1100"/>
    <n v="117"/>
    <n v="260204"/>
    <n v="4.4000000000000004"/>
    <n v="11908"/>
    <n v="983"/>
  </r>
  <r>
    <x v="47"/>
    <s v="Twitter"/>
    <n v="751"/>
    <n v="170"/>
    <n v="283278"/>
    <n v="3.49"/>
    <n v="11005"/>
    <n v="581"/>
  </r>
  <r>
    <x v="47"/>
    <s v="YouTube"/>
    <n v="864"/>
    <n v="50"/>
    <n v="277445"/>
    <n v="3.57"/>
    <n v="26333"/>
    <n v="814"/>
  </r>
  <r>
    <x v="48"/>
    <s v="Instagram"/>
    <n v="1146"/>
    <n v="227"/>
    <n v="353781"/>
    <n v="6.41"/>
    <n v="5495"/>
    <n v="919"/>
  </r>
  <r>
    <x v="48"/>
    <s v="Twitter"/>
    <n v="883"/>
    <n v="207"/>
    <n v="265019"/>
    <n v="6.04"/>
    <n v="15655"/>
    <n v="676"/>
  </r>
  <r>
    <x v="48"/>
    <s v="YouTube"/>
    <n v="622"/>
    <n v="163"/>
    <n v="231925"/>
    <n v="9.18"/>
    <n v="13763"/>
    <n v="459"/>
  </r>
  <r>
    <x v="49"/>
    <s v="Instagram"/>
    <n v="837"/>
    <n v="261"/>
    <n v="366149"/>
    <n v="6.54"/>
    <n v="26073"/>
    <n v="576"/>
  </r>
  <r>
    <x v="49"/>
    <s v="Twitter"/>
    <n v="544"/>
    <n v="97"/>
    <n v="168375"/>
    <n v="8.66"/>
    <n v="12774"/>
    <n v="447"/>
  </r>
  <r>
    <x v="49"/>
    <s v="YouTube"/>
    <n v="624"/>
    <n v="247"/>
    <n v="252763"/>
    <n v="3.89"/>
    <n v="19000"/>
    <n v="377"/>
  </r>
  <r>
    <x v="50"/>
    <s v="Instagram"/>
    <n v="1073"/>
    <n v="141"/>
    <n v="118393"/>
    <n v="7.95"/>
    <n v="14051"/>
    <n v="932"/>
  </r>
  <r>
    <x v="50"/>
    <s v="Twitter"/>
    <n v="1430"/>
    <n v="74"/>
    <n v="327012"/>
    <n v="6.66"/>
    <n v="27782"/>
    <n v="1356"/>
  </r>
  <r>
    <x v="50"/>
    <s v="YouTube"/>
    <n v="1358"/>
    <n v="77"/>
    <n v="169688"/>
    <n v="5.25"/>
    <n v="7859"/>
    <n v="1281"/>
  </r>
  <r>
    <x v="51"/>
    <s v="Instagram"/>
    <n v="1242"/>
    <n v="201"/>
    <n v="271935"/>
    <n v="5.07"/>
    <n v="15773"/>
    <n v="1041"/>
  </r>
  <r>
    <x v="51"/>
    <s v="Twitter"/>
    <n v="1389"/>
    <n v="205"/>
    <n v="315981"/>
    <n v="7.62"/>
    <n v="20595"/>
    <n v="1184"/>
  </r>
  <r>
    <x v="51"/>
    <s v="YouTube"/>
    <n v="826"/>
    <n v="142"/>
    <n v="341016"/>
    <n v="7.44"/>
    <n v="12031"/>
    <n v="684"/>
  </r>
  <r>
    <x v="52"/>
    <s v="Instagram"/>
    <n v="618"/>
    <n v="264"/>
    <n v="285164"/>
    <n v="4.8600000000000003"/>
    <n v="15128"/>
    <n v="354"/>
  </r>
  <r>
    <x v="52"/>
    <s v="Twitter"/>
    <n v="1419"/>
    <n v="293"/>
    <n v="116632"/>
    <n v="6.93"/>
    <n v="11826"/>
    <n v="1126"/>
  </r>
  <r>
    <x v="52"/>
    <s v="YouTube"/>
    <n v="637"/>
    <n v="68"/>
    <n v="115694"/>
    <n v="9.99"/>
    <n v="12562"/>
    <n v="569"/>
  </r>
  <r>
    <x v="53"/>
    <s v="Instagram"/>
    <n v="917"/>
    <n v="187"/>
    <n v="64444"/>
    <n v="5.22"/>
    <n v="13013"/>
    <n v="730"/>
  </r>
  <r>
    <x v="53"/>
    <s v="Twitter"/>
    <n v="810"/>
    <n v="232"/>
    <n v="362559"/>
    <n v="5.17"/>
    <n v="12937"/>
    <n v="578"/>
  </r>
  <r>
    <x v="53"/>
    <s v="YouTube"/>
    <n v="1183"/>
    <n v="248"/>
    <n v="226881"/>
    <n v="5.17"/>
    <n v="14534"/>
    <n v="935"/>
  </r>
  <r>
    <x v="54"/>
    <s v="Instagram"/>
    <n v="765"/>
    <n v="67"/>
    <n v="283537"/>
    <n v="6.18"/>
    <n v="8182"/>
    <n v="698"/>
  </r>
  <r>
    <x v="54"/>
    <s v="Twitter"/>
    <n v="540"/>
    <n v="215"/>
    <n v="62837"/>
    <n v="5.3"/>
    <n v="10615"/>
    <n v="325"/>
  </r>
  <r>
    <x v="54"/>
    <s v="YouTube"/>
    <n v="1145"/>
    <n v="151"/>
    <n v="182759"/>
    <n v="5.99"/>
    <n v="20109"/>
    <n v="994"/>
  </r>
  <r>
    <x v="55"/>
    <s v="Instagram"/>
    <n v="564"/>
    <n v="244"/>
    <n v="279405"/>
    <n v="8.43"/>
    <n v="26024"/>
    <n v="320"/>
  </r>
  <r>
    <x v="55"/>
    <s v="Twitter"/>
    <n v="668"/>
    <n v="124"/>
    <n v="257485"/>
    <n v="7.55"/>
    <n v="26730"/>
    <n v="544"/>
  </r>
  <r>
    <x v="55"/>
    <s v="YouTube"/>
    <n v="761"/>
    <n v="241"/>
    <n v="154977"/>
    <n v="5.63"/>
    <n v="10563"/>
    <n v="520"/>
  </r>
  <r>
    <x v="56"/>
    <s v="Instagram"/>
    <n v="593"/>
    <n v="108"/>
    <n v="216500"/>
    <n v="4.71"/>
    <n v="27575"/>
    <n v="485"/>
  </r>
  <r>
    <x v="56"/>
    <s v="Twitter"/>
    <n v="1349"/>
    <n v="115"/>
    <n v="102102"/>
    <n v="5.28"/>
    <n v="14479"/>
    <n v="1234"/>
  </r>
  <r>
    <x v="56"/>
    <s v="YouTube"/>
    <n v="693"/>
    <n v="97"/>
    <n v="92025"/>
    <n v="5.95"/>
    <n v="15915"/>
    <n v="596"/>
  </r>
  <r>
    <x v="57"/>
    <s v="Instagram"/>
    <n v="974"/>
    <n v="143"/>
    <n v="247965"/>
    <n v="9.98"/>
    <n v="12767"/>
    <n v="831"/>
  </r>
  <r>
    <x v="57"/>
    <s v="Twitter"/>
    <n v="1155"/>
    <n v="122"/>
    <n v="387352"/>
    <n v="9.93"/>
    <n v="12170"/>
    <n v="1033"/>
  </r>
  <r>
    <x v="57"/>
    <s v="YouTube"/>
    <n v="1051"/>
    <n v="246"/>
    <n v="253985"/>
    <n v="9.08"/>
    <n v="7245"/>
    <n v="805"/>
  </r>
  <r>
    <x v="58"/>
    <s v="Instagram"/>
    <n v="1457"/>
    <n v="183"/>
    <n v="129640"/>
    <n v="7.98"/>
    <n v="12985"/>
    <n v="1274"/>
  </r>
  <r>
    <x v="58"/>
    <s v="Twitter"/>
    <n v="670"/>
    <n v="242"/>
    <n v="281913"/>
    <n v="9.6199999999999992"/>
    <n v="16377"/>
    <n v="428"/>
  </r>
  <r>
    <x v="58"/>
    <s v="YouTube"/>
    <n v="1111"/>
    <n v="159"/>
    <n v="360770"/>
    <n v="8.7100000000000009"/>
    <n v="11453"/>
    <n v="952"/>
  </r>
  <r>
    <x v="59"/>
    <s v="Instagram"/>
    <n v="1197"/>
    <n v="246"/>
    <n v="127273"/>
    <n v="6.69"/>
    <n v="12323"/>
    <n v="951"/>
  </r>
  <r>
    <x v="59"/>
    <s v="Twitter"/>
    <n v="754"/>
    <n v="150"/>
    <n v="189622"/>
    <n v="4.25"/>
    <n v="11911"/>
    <n v="604"/>
  </r>
  <r>
    <x v="59"/>
    <s v="YouTube"/>
    <n v="1246"/>
    <n v="107"/>
    <n v="350949"/>
    <n v="4.9800000000000004"/>
    <n v="27809"/>
    <n v="1139"/>
  </r>
  <r>
    <x v="60"/>
    <s v="Instagram"/>
    <n v="780"/>
    <n v="213"/>
    <n v="121431"/>
    <n v="4.97"/>
    <n v="21464"/>
    <n v="567"/>
  </r>
  <r>
    <x v="60"/>
    <s v="Twitter"/>
    <n v="1425"/>
    <n v="143"/>
    <n v="116742"/>
    <n v="3.71"/>
    <n v="27126"/>
    <n v="1282"/>
  </r>
  <r>
    <x v="60"/>
    <s v="YouTube"/>
    <n v="1490"/>
    <n v="103"/>
    <n v="81184"/>
    <n v="7.79"/>
    <n v="10681"/>
    <n v="1387"/>
  </r>
  <r>
    <x v="61"/>
    <s v="Instagram"/>
    <n v="949"/>
    <n v="282"/>
    <n v="87126"/>
    <n v="4.96"/>
    <n v="5413"/>
    <n v="667"/>
  </r>
  <r>
    <x v="61"/>
    <s v="Twitter"/>
    <n v="640"/>
    <n v="141"/>
    <n v="267546"/>
    <n v="8.58"/>
    <n v="25058"/>
    <n v="499"/>
  </r>
  <r>
    <x v="61"/>
    <s v="YouTube"/>
    <n v="616"/>
    <n v="93"/>
    <n v="133082"/>
    <n v="8.51"/>
    <n v="18303"/>
    <n v="523"/>
  </r>
  <r>
    <x v="62"/>
    <s v="Instagram"/>
    <n v="1080"/>
    <n v="184"/>
    <n v="340557"/>
    <n v="5.41"/>
    <n v="5526"/>
    <n v="896"/>
  </r>
  <r>
    <x v="62"/>
    <s v="Twitter"/>
    <n v="938"/>
    <n v="236"/>
    <n v="116472"/>
    <n v="8.7200000000000006"/>
    <n v="17460"/>
    <n v="702"/>
  </r>
  <r>
    <x v="62"/>
    <s v="YouTube"/>
    <n v="1007"/>
    <n v="258"/>
    <n v="113412"/>
    <n v="7.71"/>
    <n v="14475"/>
    <n v="749"/>
  </r>
  <r>
    <x v="63"/>
    <s v="Instagram"/>
    <n v="541"/>
    <n v="208"/>
    <n v="157547"/>
    <n v="8.35"/>
    <n v="20162"/>
    <n v="333"/>
  </r>
  <r>
    <x v="63"/>
    <s v="Twitter"/>
    <n v="745"/>
    <n v="98"/>
    <n v="354816"/>
    <n v="4.03"/>
    <n v="17103"/>
    <n v="647"/>
  </r>
  <r>
    <x v="63"/>
    <s v="YouTube"/>
    <n v="936"/>
    <n v="97"/>
    <n v="151799"/>
    <n v="9.3699999999999992"/>
    <n v="15461"/>
    <n v="839"/>
  </r>
  <r>
    <x v="64"/>
    <s v="Instagram"/>
    <n v="1183"/>
    <n v="223"/>
    <n v="143811"/>
    <n v="6.07"/>
    <n v="22103"/>
    <n v="960"/>
  </r>
  <r>
    <x v="64"/>
    <s v="Twitter"/>
    <n v="1413"/>
    <n v="245"/>
    <n v="296450"/>
    <n v="6.52"/>
    <n v="11625"/>
    <n v="1168"/>
  </r>
  <r>
    <x v="64"/>
    <s v="YouTube"/>
    <n v="791"/>
    <n v="273"/>
    <n v="144049"/>
    <n v="3.08"/>
    <n v="5281"/>
    <n v="518"/>
  </r>
  <r>
    <x v="65"/>
    <s v="Instagram"/>
    <n v="1052"/>
    <n v="180"/>
    <n v="272534"/>
    <n v="5.34"/>
    <n v="13424"/>
    <n v="872"/>
  </r>
  <r>
    <x v="65"/>
    <s v="Twitter"/>
    <n v="572"/>
    <n v="270"/>
    <n v="82265"/>
    <n v="3.65"/>
    <n v="13140"/>
    <n v="302"/>
  </r>
  <r>
    <x v="65"/>
    <s v="YouTube"/>
    <n v="503"/>
    <n v="253"/>
    <n v="313562"/>
    <n v="4.18"/>
    <n v="19538"/>
    <n v="250"/>
  </r>
  <r>
    <x v="66"/>
    <s v="Instagram"/>
    <n v="1017"/>
    <n v="197"/>
    <n v="89918"/>
    <n v="3.91"/>
    <n v="7881"/>
    <n v="820"/>
  </r>
  <r>
    <x v="66"/>
    <s v="Twitter"/>
    <n v="860"/>
    <n v="244"/>
    <n v="348686"/>
    <n v="5.12"/>
    <n v="11418"/>
    <n v="6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B31CB-93CE-4993-A915-F558AF2FBF49}" name="PivotTable1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K2:L70" firstHeaderRow="1" firstDataRow="1" firstDataCol="1"/>
  <pivotFields count="11">
    <pivotField axis="axisRow" numFmtId="14" showAll="0" sortType="de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1"/>
        <item x="2"/>
        <item t="default"/>
      </items>
    </pivotField>
    <pivotField numFmtId="1" showAll="0"/>
    <pivotField numFmtId="1" showAll="0"/>
    <pivotField numFmtId="1" showAll="0"/>
    <pivotField numFmtId="2" showAll="0"/>
    <pivotField numFmtId="1" showAll="0"/>
    <pivotField dataField="1" numFmtId="1" showAll="0"/>
    <pivotField showAll="0">
      <items count="15"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8">
    <i>
      <x v="22"/>
    </i>
    <i>
      <x v="50"/>
    </i>
    <i>
      <x/>
    </i>
    <i>
      <x v="44"/>
    </i>
    <i>
      <x v="60"/>
    </i>
    <i>
      <x v="45"/>
    </i>
    <i>
      <x v="2"/>
    </i>
    <i>
      <x v="5"/>
    </i>
    <i>
      <x v="17"/>
    </i>
    <i>
      <x v="10"/>
    </i>
    <i>
      <x v="51"/>
    </i>
    <i>
      <x v="23"/>
    </i>
    <i>
      <x v="20"/>
    </i>
    <i>
      <x v="16"/>
    </i>
    <i>
      <x v="43"/>
    </i>
    <i>
      <x v="1"/>
    </i>
    <i>
      <x v="39"/>
    </i>
    <i>
      <x v="59"/>
    </i>
    <i>
      <x v="9"/>
    </i>
    <i>
      <x v="28"/>
    </i>
    <i>
      <x v="42"/>
    </i>
    <i>
      <x v="19"/>
    </i>
    <i>
      <x v="57"/>
    </i>
    <i>
      <x v="58"/>
    </i>
    <i>
      <x v="64"/>
    </i>
    <i>
      <x v="14"/>
    </i>
    <i>
      <x v="29"/>
    </i>
    <i>
      <x v="13"/>
    </i>
    <i>
      <x v="31"/>
    </i>
    <i>
      <x v="12"/>
    </i>
    <i>
      <x v="3"/>
    </i>
    <i>
      <x v="4"/>
    </i>
    <i>
      <x v="26"/>
    </i>
    <i>
      <x v="47"/>
    </i>
    <i>
      <x v="6"/>
    </i>
    <i>
      <x v="36"/>
    </i>
    <i>
      <x v="62"/>
    </i>
    <i>
      <x v="32"/>
    </i>
    <i>
      <x v="18"/>
    </i>
    <i>
      <x v="30"/>
    </i>
    <i>
      <x v="40"/>
    </i>
    <i>
      <x v="56"/>
    </i>
    <i>
      <x v="11"/>
    </i>
    <i>
      <x v="25"/>
    </i>
    <i>
      <x v="7"/>
    </i>
    <i>
      <x v="53"/>
    </i>
    <i>
      <x v="41"/>
    </i>
    <i>
      <x v="21"/>
    </i>
    <i>
      <x v="15"/>
    </i>
    <i>
      <x v="8"/>
    </i>
    <i>
      <x v="48"/>
    </i>
    <i>
      <x v="52"/>
    </i>
    <i>
      <x v="54"/>
    </i>
    <i>
      <x v="24"/>
    </i>
    <i>
      <x v="34"/>
    </i>
    <i>
      <x v="33"/>
    </i>
    <i>
      <x v="63"/>
    </i>
    <i>
      <x v="46"/>
    </i>
    <i>
      <x v="38"/>
    </i>
    <i>
      <x v="61"/>
    </i>
    <i>
      <x v="35"/>
    </i>
    <i>
      <x v="37"/>
    </i>
    <i>
      <x v="66"/>
    </i>
    <i>
      <x v="65"/>
    </i>
    <i>
      <x v="49"/>
    </i>
    <i>
      <x v="27"/>
    </i>
    <i>
      <x v="55"/>
    </i>
    <i t="grand">
      <x/>
    </i>
  </rowItems>
  <colItems count="1">
    <i/>
  </colItems>
  <dataFields count="1">
    <dataField name="Sum of Net_Gain" fld="7" baseField="0" baseItem="0" numFmtId="1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C28CE4-1240-4FD9-9473-1700AAA7AD2A}" name="PivotTable1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2:K70" firstHeaderRow="1" firstDataRow="1" firstDataCol="1"/>
  <pivotFields count="11">
    <pivotField axis="axisRow"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>
      <items count="4">
        <item x="0"/>
        <item x="1"/>
        <item x="2"/>
        <item t="default"/>
      </items>
    </pivotField>
    <pivotField numFmtId="1" showAll="0"/>
    <pivotField numFmtId="1" showAll="0"/>
    <pivotField dataField="1" numFmtId="1" showAll="0"/>
    <pivotField numFmtId="2" showAll="0"/>
    <pivotField numFmtId="1" showAll="0"/>
    <pivotField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Items count="1">
    <i/>
  </colItems>
  <dataFields count="1">
    <dataField name="Average of Total_Followers" fld="4" subtotal="average" baseField="0" baseItem="2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32860-4F3F-43AE-876A-71F8CDC9E209}" name="PivotTable1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L70" firstHeaderRow="0" firstDataRow="1" firstDataCol="1"/>
  <pivotFields count="11">
    <pivotField axis="axisRow"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numFmtId="1" showAll="0"/>
    <pivotField numFmtId="1" showAll="0"/>
    <pivotField numFmtId="1" showAll="0"/>
    <pivotField numFmtId="2" showAll="0"/>
    <pivotField dataField="1" numFmtId="1" showAll="0"/>
    <pivotField dataField="1" numFmtI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 numFmtId="1"/>
    <dataField name="Sum of Net_Growth" fld="7" baseField="0" baseItem="0" numFmtId="1"/>
  </dataField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DB03-EB30-4695-8E21-0FE01B5D6F25}">
  <dimension ref="A1:L201"/>
  <sheetViews>
    <sheetView topLeftCell="E1" zoomScale="84" workbookViewId="0">
      <selection activeCell="Z26" sqref="Z26"/>
    </sheetView>
  </sheetViews>
  <sheetFormatPr defaultRowHeight="14.4"/>
  <cols>
    <col min="1" max="1" width="17.88671875" bestFit="1" customWidth="1"/>
    <col min="7" max="7" width="11" bestFit="1" customWidth="1"/>
    <col min="10" max="11" width="12.5546875" bestFit="1" customWidth="1"/>
    <col min="12" max="12" width="15.33203125" bestFit="1" customWidth="1"/>
    <col min="13" max="13" width="6.88671875" bestFit="1" customWidth="1"/>
    <col min="14" max="14" width="8.44140625" bestFit="1" customWidth="1"/>
    <col min="15" max="15" width="10.77734375" bestFit="1" customWidth="1"/>
  </cols>
  <sheetData>
    <row r="1" spans="1:1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3" t="s">
        <v>12</v>
      </c>
    </row>
    <row r="2" spans="1:12">
      <c r="A2" s="10">
        <v>45446</v>
      </c>
      <c r="B2" s="11" t="s">
        <v>7</v>
      </c>
      <c r="C2" s="12">
        <v>1402</v>
      </c>
      <c r="D2" s="13">
        <v>68</v>
      </c>
      <c r="E2" s="12">
        <v>124562</v>
      </c>
      <c r="F2" s="14">
        <v>9.92</v>
      </c>
      <c r="G2" s="12">
        <v>23125</v>
      </c>
      <c r="H2" s="15">
        <f>C2-D2</f>
        <v>1334</v>
      </c>
      <c r="K2" s="6" t="s">
        <v>10</v>
      </c>
      <c r="L2" t="s">
        <v>13</v>
      </c>
    </row>
    <row r="3" spans="1:12">
      <c r="A3" s="10">
        <v>45446</v>
      </c>
      <c r="B3" s="11" t="s">
        <v>8</v>
      </c>
      <c r="C3" s="12">
        <v>995</v>
      </c>
      <c r="D3" s="13">
        <v>86</v>
      </c>
      <c r="E3" s="12">
        <v>227958</v>
      </c>
      <c r="F3" s="14">
        <v>8.0500000000000007</v>
      </c>
      <c r="G3" s="12">
        <v>22788</v>
      </c>
      <c r="H3" s="15">
        <f t="shared" ref="H3:H66" si="0">C3-D3</f>
        <v>909</v>
      </c>
      <c r="K3" s="7">
        <v>45600</v>
      </c>
      <c r="L3" s="8">
        <v>3576</v>
      </c>
    </row>
    <row r="4" spans="1:12">
      <c r="A4" s="10">
        <v>45446</v>
      </c>
      <c r="B4" s="11" t="s">
        <v>9</v>
      </c>
      <c r="C4" s="12">
        <v>1472</v>
      </c>
      <c r="D4" s="13">
        <v>296</v>
      </c>
      <c r="E4" s="12">
        <v>370242</v>
      </c>
      <c r="F4" s="14">
        <v>7.72</v>
      </c>
      <c r="G4" s="12">
        <v>7810</v>
      </c>
      <c r="H4" s="15">
        <f t="shared" si="0"/>
        <v>1176</v>
      </c>
      <c r="K4" s="7">
        <v>45796</v>
      </c>
      <c r="L4" s="8">
        <v>3569</v>
      </c>
    </row>
    <row r="5" spans="1:12">
      <c r="A5" s="10">
        <v>45453</v>
      </c>
      <c r="B5" s="11" t="s">
        <v>7</v>
      </c>
      <c r="C5" s="12">
        <v>1018</v>
      </c>
      <c r="D5" s="13">
        <v>90</v>
      </c>
      <c r="E5" s="12">
        <v>92474</v>
      </c>
      <c r="F5" s="14">
        <v>9.4</v>
      </c>
      <c r="G5" s="12">
        <v>11966</v>
      </c>
      <c r="H5" s="15">
        <f t="shared" si="0"/>
        <v>928</v>
      </c>
      <c r="K5" s="7">
        <v>45446</v>
      </c>
      <c r="L5" s="8">
        <v>3419</v>
      </c>
    </row>
    <row r="6" spans="1:12">
      <c r="A6" s="10">
        <v>45453</v>
      </c>
      <c r="B6" s="11" t="s">
        <v>8</v>
      </c>
      <c r="C6" s="12">
        <v>1461</v>
      </c>
      <c r="D6" s="13">
        <v>64</v>
      </c>
      <c r="E6" s="12">
        <v>328902</v>
      </c>
      <c r="F6" s="14">
        <v>9.02</v>
      </c>
      <c r="G6" s="12">
        <v>26298</v>
      </c>
      <c r="H6" s="15">
        <f t="shared" si="0"/>
        <v>1397</v>
      </c>
      <c r="K6" s="7">
        <v>45754</v>
      </c>
      <c r="L6" s="8">
        <v>3291</v>
      </c>
    </row>
    <row r="7" spans="1:12">
      <c r="A7" s="10">
        <v>45453</v>
      </c>
      <c r="B7" s="11" t="s">
        <v>9</v>
      </c>
      <c r="C7" s="12">
        <v>545</v>
      </c>
      <c r="D7" s="13">
        <v>93</v>
      </c>
      <c r="E7" s="12">
        <v>391621</v>
      </c>
      <c r="F7" s="14">
        <v>9.9600000000000009</v>
      </c>
      <c r="G7" s="12">
        <v>22029</v>
      </c>
      <c r="H7" s="15">
        <f t="shared" si="0"/>
        <v>452</v>
      </c>
      <c r="K7" s="7">
        <v>45866</v>
      </c>
      <c r="L7" s="8">
        <v>3236</v>
      </c>
    </row>
    <row r="8" spans="1:12">
      <c r="A8" s="10">
        <v>45460</v>
      </c>
      <c r="B8" s="11" t="s">
        <v>7</v>
      </c>
      <c r="C8" s="12">
        <v>881</v>
      </c>
      <c r="D8" s="13">
        <v>291</v>
      </c>
      <c r="E8" s="12">
        <v>95885</v>
      </c>
      <c r="F8" s="14">
        <v>5.29</v>
      </c>
      <c r="G8" s="12">
        <v>12391</v>
      </c>
      <c r="H8" s="15">
        <f t="shared" si="0"/>
        <v>590</v>
      </c>
      <c r="K8" s="7">
        <v>45761</v>
      </c>
      <c r="L8" s="8">
        <v>3216</v>
      </c>
    </row>
    <row r="9" spans="1:12">
      <c r="A9" s="10">
        <v>45460</v>
      </c>
      <c r="B9" s="11" t="s">
        <v>8</v>
      </c>
      <c r="C9" s="12">
        <v>1414</v>
      </c>
      <c r="D9" s="13">
        <v>131</v>
      </c>
      <c r="E9" s="12">
        <v>245947</v>
      </c>
      <c r="F9" s="14">
        <v>8.3000000000000007</v>
      </c>
      <c r="G9" s="12">
        <v>14477</v>
      </c>
      <c r="H9" s="15">
        <f t="shared" si="0"/>
        <v>1283</v>
      </c>
      <c r="K9" s="7">
        <v>45460</v>
      </c>
      <c r="L9" s="8">
        <v>3175</v>
      </c>
    </row>
    <row r="10" spans="1:12">
      <c r="A10" s="10">
        <v>45460</v>
      </c>
      <c r="B10" s="11" t="s">
        <v>9</v>
      </c>
      <c r="C10" s="12">
        <v>1472</v>
      </c>
      <c r="D10" s="13">
        <v>170</v>
      </c>
      <c r="E10" s="12">
        <v>250428</v>
      </c>
      <c r="F10" s="14">
        <v>4.66</v>
      </c>
      <c r="G10" s="12">
        <v>25040</v>
      </c>
      <c r="H10" s="15">
        <f t="shared" si="0"/>
        <v>1302</v>
      </c>
      <c r="K10" s="7">
        <v>45481</v>
      </c>
      <c r="L10" s="8">
        <v>3155</v>
      </c>
    </row>
    <row r="11" spans="1:12">
      <c r="A11" s="10">
        <v>45467</v>
      </c>
      <c r="B11" s="11" t="s">
        <v>7</v>
      </c>
      <c r="C11" s="12">
        <v>809</v>
      </c>
      <c r="D11" s="13">
        <v>197</v>
      </c>
      <c r="E11" s="12">
        <v>87186</v>
      </c>
      <c r="F11" s="14">
        <v>9.48</v>
      </c>
      <c r="G11" s="12">
        <v>22619</v>
      </c>
      <c r="H11" s="15">
        <f t="shared" si="0"/>
        <v>612</v>
      </c>
      <c r="K11" s="7">
        <v>45565</v>
      </c>
      <c r="L11" s="8">
        <v>3151</v>
      </c>
    </row>
    <row r="12" spans="1:12">
      <c r="A12" s="10">
        <v>45467</v>
      </c>
      <c r="B12" s="11" t="s">
        <v>8</v>
      </c>
      <c r="C12" s="12">
        <v>1371</v>
      </c>
      <c r="D12" s="13">
        <v>250</v>
      </c>
      <c r="E12" s="12">
        <v>128620</v>
      </c>
      <c r="F12" s="14">
        <v>7.11</v>
      </c>
      <c r="G12" s="12">
        <v>12399</v>
      </c>
      <c r="H12" s="15">
        <f t="shared" si="0"/>
        <v>1121</v>
      </c>
      <c r="K12" s="7">
        <v>45516</v>
      </c>
      <c r="L12" s="8">
        <v>3072</v>
      </c>
    </row>
    <row r="13" spans="1:12">
      <c r="A13" s="10">
        <v>45467</v>
      </c>
      <c r="B13" s="11" t="s">
        <v>9</v>
      </c>
      <c r="C13" s="12">
        <v>844</v>
      </c>
      <c r="D13" s="13">
        <v>144</v>
      </c>
      <c r="E13" s="12">
        <v>126015</v>
      </c>
      <c r="F13" s="14">
        <v>9.65</v>
      </c>
      <c r="G13" s="12">
        <v>22456</v>
      </c>
      <c r="H13" s="15">
        <f t="shared" si="0"/>
        <v>700</v>
      </c>
      <c r="K13" s="7">
        <v>45803</v>
      </c>
      <c r="L13" s="8">
        <v>2909</v>
      </c>
    </row>
    <row r="14" spans="1:12">
      <c r="A14" s="10">
        <v>45474</v>
      </c>
      <c r="B14" s="11" t="s">
        <v>7</v>
      </c>
      <c r="C14" s="12">
        <v>786</v>
      </c>
      <c r="D14" s="13">
        <v>72</v>
      </c>
      <c r="E14" s="12">
        <v>178615</v>
      </c>
      <c r="F14" s="14">
        <v>5.43</v>
      </c>
      <c r="G14" s="12">
        <v>19328</v>
      </c>
      <c r="H14" s="15">
        <f t="shared" si="0"/>
        <v>714</v>
      </c>
      <c r="K14" s="7">
        <v>45607</v>
      </c>
      <c r="L14" s="8">
        <v>2794</v>
      </c>
    </row>
    <row r="15" spans="1:12">
      <c r="A15" s="10">
        <v>45474</v>
      </c>
      <c r="B15" s="11" t="s">
        <v>8</v>
      </c>
      <c r="C15" s="12">
        <v>845</v>
      </c>
      <c r="D15" s="13">
        <v>250</v>
      </c>
      <c r="E15" s="12">
        <v>218228</v>
      </c>
      <c r="F15" s="14">
        <v>4.5199999999999996</v>
      </c>
      <c r="G15" s="12">
        <v>21107</v>
      </c>
      <c r="H15" s="15">
        <f t="shared" si="0"/>
        <v>595</v>
      </c>
      <c r="K15" s="7">
        <v>45586</v>
      </c>
      <c r="L15" s="8">
        <v>2792</v>
      </c>
    </row>
    <row r="16" spans="1:12">
      <c r="A16" s="10">
        <v>45474</v>
      </c>
      <c r="B16" s="11" t="s">
        <v>9</v>
      </c>
      <c r="C16" s="12">
        <v>1218</v>
      </c>
      <c r="D16" s="13">
        <v>101</v>
      </c>
      <c r="E16" s="12">
        <v>300397</v>
      </c>
      <c r="F16" s="14">
        <v>4.33</v>
      </c>
      <c r="G16" s="12">
        <v>12277</v>
      </c>
      <c r="H16" s="15">
        <f t="shared" si="0"/>
        <v>1117</v>
      </c>
      <c r="K16" s="7">
        <v>45558</v>
      </c>
      <c r="L16" s="8">
        <v>2785</v>
      </c>
    </row>
    <row r="17" spans="1:12">
      <c r="A17" s="10">
        <v>45481</v>
      </c>
      <c r="B17" s="11" t="s">
        <v>7</v>
      </c>
      <c r="C17" s="12">
        <v>797</v>
      </c>
      <c r="D17" s="13">
        <v>130</v>
      </c>
      <c r="E17" s="12">
        <v>340121</v>
      </c>
      <c r="F17" s="14">
        <v>8.52</v>
      </c>
      <c r="G17" s="12">
        <v>11684</v>
      </c>
      <c r="H17" s="15">
        <f t="shared" si="0"/>
        <v>667</v>
      </c>
      <c r="K17" s="7">
        <v>45747</v>
      </c>
      <c r="L17" s="8">
        <v>2781</v>
      </c>
    </row>
    <row r="18" spans="1:12">
      <c r="A18" s="10">
        <v>45481</v>
      </c>
      <c r="B18" s="11" t="s">
        <v>8</v>
      </c>
      <c r="C18" s="12">
        <v>1471</v>
      </c>
      <c r="D18" s="13">
        <v>100</v>
      </c>
      <c r="E18" s="12">
        <v>76866</v>
      </c>
      <c r="F18" s="14">
        <v>8.5500000000000007</v>
      </c>
      <c r="G18" s="12">
        <v>14412</v>
      </c>
      <c r="H18" s="15">
        <f t="shared" si="0"/>
        <v>1371</v>
      </c>
      <c r="K18" s="7">
        <v>45453</v>
      </c>
      <c r="L18" s="8">
        <v>2777</v>
      </c>
    </row>
    <row r="19" spans="1:12">
      <c r="A19" s="10">
        <v>45481</v>
      </c>
      <c r="B19" s="11" t="s">
        <v>9</v>
      </c>
      <c r="C19" s="12">
        <v>1253</v>
      </c>
      <c r="D19" s="13">
        <v>136</v>
      </c>
      <c r="E19" s="12">
        <v>193131</v>
      </c>
      <c r="F19" s="14">
        <v>7.99</v>
      </c>
      <c r="G19" s="12">
        <v>15924</v>
      </c>
      <c r="H19" s="15">
        <f t="shared" si="0"/>
        <v>1117</v>
      </c>
      <c r="K19" s="7">
        <v>45719</v>
      </c>
      <c r="L19" s="8">
        <v>2763</v>
      </c>
    </row>
    <row r="20" spans="1:12">
      <c r="A20" s="10">
        <v>45488</v>
      </c>
      <c r="B20" s="11" t="s">
        <v>7</v>
      </c>
      <c r="C20" s="12">
        <v>616</v>
      </c>
      <c r="D20" s="13">
        <v>257</v>
      </c>
      <c r="E20" s="12">
        <v>169665</v>
      </c>
      <c r="F20" s="14">
        <v>6.31</v>
      </c>
      <c r="G20" s="12">
        <v>12390</v>
      </c>
      <c r="H20" s="15">
        <f t="shared" si="0"/>
        <v>359</v>
      </c>
      <c r="K20" s="7">
        <v>45859</v>
      </c>
      <c r="L20" s="8">
        <v>2694</v>
      </c>
    </row>
    <row r="21" spans="1:12">
      <c r="A21" s="10">
        <v>45488</v>
      </c>
      <c r="B21" s="11" t="s">
        <v>8</v>
      </c>
      <c r="C21" s="12">
        <v>1308</v>
      </c>
      <c r="D21" s="13">
        <v>210</v>
      </c>
      <c r="E21" s="12">
        <v>263729</v>
      </c>
      <c r="F21" s="14">
        <v>8.5299999999999994</v>
      </c>
      <c r="G21" s="12">
        <v>25742</v>
      </c>
      <c r="H21" s="15">
        <f t="shared" si="0"/>
        <v>1098</v>
      </c>
      <c r="K21" s="7">
        <v>45509</v>
      </c>
      <c r="L21" s="8">
        <v>2693</v>
      </c>
    </row>
    <row r="22" spans="1:12">
      <c r="A22" s="10">
        <v>45488</v>
      </c>
      <c r="B22" s="11" t="s">
        <v>9</v>
      </c>
      <c r="C22" s="12">
        <v>981</v>
      </c>
      <c r="D22" s="13">
        <v>69</v>
      </c>
      <c r="E22" s="12">
        <v>206921</v>
      </c>
      <c r="F22" s="14">
        <v>8.42</v>
      </c>
      <c r="G22" s="12">
        <v>10495</v>
      </c>
      <c r="H22" s="15">
        <f t="shared" si="0"/>
        <v>912</v>
      </c>
      <c r="K22" s="7">
        <v>45642</v>
      </c>
      <c r="L22" s="8">
        <v>2693</v>
      </c>
    </row>
    <row r="23" spans="1:12">
      <c r="A23" s="10">
        <v>45495</v>
      </c>
      <c r="B23" s="11" t="s">
        <v>7</v>
      </c>
      <c r="C23" s="12">
        <v>866</v>
      </c>
      <c r="D23" s="13">
        <v>74</v>
      </c>
      <c r="E23" s="12">
        <v>204121</v>
      </c>
      <c r="F23" s="14">
        <v>9.34</v>
      </c>
      <c r="G23" s="12">
        <v>7797</v>
      </c>
      <c r="H23" s="15">
        <f t="shared" si="0"/>
        <v>792</v>
      </c>
      <c r="K23" s="7">
        <v>45740</v>
      </c>
      <c r="L23" s="8">
        <v>2679</v>
      </c>
    </row>
    <row r="24" spans="1:12">
      <c r="A24" s="10">
        <v>45495</v>
      </c>
      <c r="B24" s="11" t="s">
        <v>8</v>
      </c>
      <c r="C24" s="12">
        <v>547</v>
      </c>
      <c r="D24" s="13">
        <v>183</v>
      </c>
      <c r="E24" s="12">
        <v>266350</v>
      </c>
      <c r="F24" s="14">
        <v>5.65</v>
      </c>
      <c r="G24" s="12">
        <v>15595</v>
      </c>
      <c r="H24" s="15">
        <f t="shared" si="0"/>
        <v>364</v>
      </c>
      <c r="K24" s="7">
        <v>45579</v>
      </c>
      <c r="L24" s="8">
        <v>2670</v>
      </c>
    </row>
    <row r="25" spans="1:12">
      <c r="A25" s="10">
        <v>45495</v>
      </c>
      <c r="B25" s="11" t="s">
        <v>9</v>
      </c>
      <c r="C25" s="12">
        <v>1241</v>
      </c>
      <c r="D25" s="13">
        <v>116</v>
      </c>
      <c r="E25" s="12">
        <v>380606</v>
      </c>
      <c r="F25" s="14">
        <v>4.2</v>
      </c>
      <c r="G25" s="12">
        <v>24617</v>
      </c>
      <c r="H25" s="15">
        <f t="shared" si="0"/>
        <v>1125</v>
      </c>
      <c r="K25" s="7">
        <v>45845</v>
      </c>
      <c r="L25" s="8">
        <v>2669</v>
      </c>
    </row>
    <row r="26" spans="1:12">
      <c r="A26" s="10">
        <v>45502</v>
      </c>
      <c r="B26" s="11" t="s">
        <v>7</v>
      </c>
      <c r="C26" s="12">
        <v>973</v>
      </c>
      <c r="D26" s="13">
        <v>104</v>
      </c>
      <c r="E26" s="12">
        <v>376358</v>
      </c>
      <c r="F26" s="14">
        <v>3.87</v>
      </c>
      <c r="G26" s="12">
        <v>9847</v>
      </c>
      <c r="H26" s="15">
        <f t="shared" si="0"/>
        <v>869</v>
      </c>
      <c r="K26" s="7">
        <v>45852</v>
      </c>
      <c r="L26" s="8">
        <v>2654</v>
      </c>
    </row>
    <row r="27" spans="1:12">
      <c r="A27" s="10">
        <v>45502</v>
      </c>
      <c r="B27" s="11" t="s">
        <v>8</v>
      </c>
      <c r="C27" s="12">
        <v>611</v>
      </c>
      <c r="D27" s="13">
        <v>197</v>
      </c>
      <c r="E27" s="12">
        <v>79423</v>
      </c>
      <c r="F27" s="14">
        <v>5.82</v>
      </c>
      <c r="G27" s="12">
        <v>13644</v>
      </c>
      <c r="H27" s="15">
        <f t="shared" si="0"/>
        <v>414</v>
      </c>
      <c r="K27" s="7">
        <v>45894</v>
      </c>
      <c r="L27" s="8">
        <v>2646</v>
      </c>
    </row>
    <row r="28" spans="1:12">
      <c r="A28" s="10">
        <v>45502</v>
      </c>
      <c r="B28" s="11" t="s">
        <v>9</v>
      </c>
      <c r="C28" s="12">
        <v>983</v>
      </c>
      <c r="D28" s="13">
        <v>134</v>
      </c>
      <c r="E28" s="12">
        <v>352178</v>
      </c>
      <c r="F28" s="14">
        <v>3.55</v>
      </c>
      <c r="G28" s="12">
        <v>11421</v>
      </c>
      <c r="H28" s="15">
        <f t="shared" si="0"/>
        <v>849</v>
      </c>
      <c r="K28" s="7">
        <v>45544</v>
      </c>
      <c r="L28" s="8">
        <v>2630</v>
      </c>
    </row>
    <row r="29" spans="1:12">
      <c r="A29" s="10">
        <v>45509</v>
      </c>
      <c r="B29" s="11" t="s">
        <v>7</v>
      </c>
      <c r="C29" s="12">
        <v>1449</v>
      </c>
      <c r="D29" s="13">
        <v>96</v>
      </c>
      <c r="E29" s="12">
        <v>200636</v>
      </c>
      <c r="F29" s="14">
        <v>9.92</v>
      </c>
      <c r="G29" s="12">
        <v>15613</v>
      </c>
      <c r="H29" s="15">
        <f t="shared" si="0"/>
        <v>1353</v>
      </c>
      <c r="K29" s="7">
        <v>45649</v>
      </c>
      <c r="L29" s="8">
        <v>2550</v>
      </c>
    </row>
    <row r="30" spans="1:12">
      <c r="A30" s="10">
        <v>45509</v>
      </c>
      <c r="B30" s="11" t="s">
        <v>8</v>
      </c>
      <c r="C30" s="12">
        <v>752</v>
      </c>
      <c r="D30" s="13">
        <v>170</v>
      </c>
      <c r="E30" s="12">
        <v>132756</v>
      </c>
      <c r="F30" s="14">
        <v>8.17</v>
      </c>
      <c r="G30" s="12">
        <v>23900</v>
      </c>
      <c r="H30" s="15">
        <f t="shared" si="0"/>
        <v>582</v>
      </c>
      <c r="K30" s="7">
        <v>45537</v>
      </c>
      <c r="L30" s="8">
        <v>2502</v>
      </c>
    </row>
    <row r="31" spans="1:12">
      <c r="A31" s="10">
        <v>45509</v>
      </c>
      <c r="B31" s="11" t="s">
        <v>9</v>
      </c>
      <c r="C31" s="12">
        <v>937</v>
      </c>
      <c r="D31" s="13">
        <v>179</v>
      </c>
      <c r="E31" s="12">
        <v>318098</v>
      </c>
      <c r="F31" s="14">
        <v>5.3</v>
      </c>
      <c r="G31" s="12">
        <v>5836</v>
      </c>
      <c r="H31" s="15">
        <f t="shared" si="0"/>
        <v>758</v>
      </c>
      <c r="K31" s="7">
        <v>45663</v>
      </c>
      <c r="L31" s="8">
        <v>2451</v>
      </c>
    </row>
    <row r="32" spans="1:12">
      <c r="A32" s="10">
        <v>45516</v>
      </c>
      <c r="B32" s="11" t="s">
        <v>7</v>
      </c>
      <c r="C32" s="12">
        <v>1060</v>
      </c>
      <c r="D32" s="13">
        <v>83</v>
      </c>
      <c r="E32" s="12">
        <v>68724</v>
      </c>
      <c r="F32" s="14">
        <v>5.98</v>
      </c>
      <c r="G32" s="12">
        <v>5624</v>
      </c>
      <c r="H32" s="15">
        <f t="shared" si="0"/>
        <v>977</v>
      </c>
      <c r="K32" s="7">
        <v>45530</v>
      </c>
      <c r="L32" s="8">
        <v>2450</v>
      </c>
    </row>
    <row r="33" spans="1:12">
      <c r="A33" s="10">
        <v>45516</v>
      </c>
      <c r="B33" s="11" t="s">
        <v>8</v>
      </c>
      <c r="C33" s="12">
        <v>1456</v>
      </c>
      <c r="D33" s="13">
        <v>265</v>
      </c>
      <c r="E33" s="12">
        <v>115505</v>
      </c>
      <c r="F33" s="14">
        <v>7.49</v>
      </c>
      <c r="G33" s="12">
        <v>10311</v>
      </c>
      <c r="H33" s="15">
        <f t="shared" si="0"/>
        <v>1191</v>
      </c>
      <c r="K33" s="7">
        <v>45467</v>
      </c>
      <c r="L33" s="8">
        <v>2433</v>
      </c>
    </row>
    <row r="34" spans="1:12">
      <c r="A34" s="10">
        <v>45516</v>
      </c>
      <c r="B34" s="11" t="s">
        <v>9</v>
      </c>
      <c r="C34" s="12">
        <v>1109</v>
      </c>
      <c r="D34" s="13">
        <v>205</v>
      </c>
      <c r="E34" s="12">
        <v>276722</v>
      </c>
      <c r="F34" s="14">
        <v>9.3800000000000008</v>
      </c>
      <c r="G34" s="12">
        <v>8274</v>
      </c>
      <c r="H34" s="15">
        <f t="shared" si="0"/>
        <v>904</v>
      </c>
      <c r="K34" s="7">
        <v>45474</v>
      </c>
      <c r="L34" s="8">
        <v>2426</v>
      </c>
    </row>
    <row r="35" spans="1:12">
      <c r="A35" s="10">
        <v>45523</v>
      </c>
      <c r="B35" s="11" t="s">
        <v>7</v>
      </c>
      <c r="C35" s="12">
        <v>1002</v>
      </c>
      <c r="D35" s="13">
        <v>93</v>
      </c>
      <c r="E35" s="12">
        <v>353538</v>
      </c>
      <c r="F35" s="14">
        <v>5.84</v>
      </c>
      <c r="G35" s="12">
        <v>6031</v>
      </c>
      <c r="H35" s="15">
        <f t="shared" si="0"/>
        <v>909</v>
      </c>
      <c r="K35" s="7">
        <v>45628</v>
      </c>
      <c r="L35" s="8">
        <v>2383</v>
      </c>
    </row>
    <row r="36" spans="1:12">
      <c r="A36" s="10">
        <v>45523</v>
      </c>
      <c r="B36" s="11" t="s">
        <v>8</v>
      </c>
      <c r="C36" s="12">
        <v>571</v>
      </c>
      <c r="D36" s="13">
        <v>189</v>
      </c>
      <c r="E36" s="12">
        <v>61445</v>
      </c>
      <c r="F36" s="14">
        <v>5.41</v>
      </c>
      <c r="G36" s="12">
        <v>27829</v>
      </c>
      <c r="H36" s="15">
        <f t="shared" si="0"/>
        <v>382</v>
      </c>
      <c r="K36" s="7">
        <v>45775</v>
      </c>
      <c r="L36" s="8">
        <v>2378</v>
      </c>
    </row>
    <row r="37" spans="1:12">
      <c r="A37" s="10">
        <v>45523</v>
      </c>
      <c r="B37" s="11" t="s">
        <v>9</v>
      </c>
      <c r="C37" s="12">
        <v>1240</v>
      </c>
      <c r="D37" s="13">
        <v>231</v>
      </c>
      <c r="E37" s="12">
        <v>165035</v>
      </c>
      <c r="F37" s="14">
        <v>6.05</v>
      </c>
      <c r="G37" s="12">
        <v>18267</v>
      </c>
      <c r="H37" s="15">
        <f t="shared" si="0"/>
        <v>1009</v>
      </c>
      <c r="K37" s="7">
        <v>45488</v>
      </c>
      <c r="L37" s="8">
        <v>2369</v>
      </c>
    </row>
    <row r="38" spans="1:12">
      <c r="A38" s="10">
        <v>45530</v>
      </c>
      <c r="B38" s="11" t="s">
        <v>7</v>
      </c>
      <c r="C38" s="12">
        <v>1154</v>
      </c>
      <c r="D38" s="13">
        <v>132</v>
      </c>
      <c r="E38" s="12">
        <v>194595</v>
      </c>
      <c r="F38" s="14">
        <v>7.54</v>
      </c>
      <c r="G38" s="12">
        <v>26624</v>
      </c>
      <c r="H38" s="15">
        <f t="shared" si="0"/>
        <v>1022</v>
      </c>
      <c r="K38" s="7">
        <v>45698</v>
      </c>
      <c r="L38" s="8">
        <v>2361</v>
      </c>
    </row>
    <row r="39" spans="1:12">
      <c r="A39" s="10">
        <v>45530</v>
      </c>
      <c r="B39" s="11" t="s">
        <v>8</v>
      </c>
      <c r="C39" s="12">
        <v>537</v>
      </c>
      <c r="D39" s="13">
        <v>275</v>
      </c>
      <c r="E39" s="12">
        <v>236238</v>
      </c>
      <c r="F39" s="14">
        <v>5.87</v>
      </c>
      <c r="G39" s="12">
        <v>26644</v>
      </c>
      <c r="H39" s="15">
        <f t="shared" si="0"/>
        <v>262</v>
      </c>
      <c r="K39" s="7">
        <v>45880</v>
      </c>
      <c r="L39" s="8">
        <v>2347</v>
      </c>
    </row>
    <row r="40" spans="1:12">
      <c r="A40" s="10">
        <v>45530</v>
      </c>
      <c r="B40" s="11" t="s">
        <v>9</v>
      </c>
      <c r="C40" s="12">
        <v>1456</v>
      </c>
      <c r="D40" s="13">
        <v>290</v>
      </c>
      <c r="E40" s="12">
        <v>271044</v>
      </c>
      <c r="F40" s="14">
        <v>7.17</v>
      </c>
      <c r="G40" s="12">
        <v>13051</v>
      </c>
      <c r="H40" s="15">
        <f t="shared" si="0"/>
        <v>1166</v>
      </c>
      <c r="K40" s="7">
        <v>45670</v>
      </c>
      <c r="L40" s="8">
        <v>2341</v>
      </c>
    </row>
    <row r="41" spans="1:12">
      <c r="A41" s="10">
        <v>45537</v>
      </c>
      <c r="B41" s="11" t="s">
        <v>7</v>
      </c>
      <c r="C41" s="12">
        <v>721</v>
      </c>
      <c r="D41" s="13">
        <v>206</v>
      </c>
      <c r="E41" s="12">
        <v>334887</v>
      </c>
      <c r="F41" s="14">
        <v>6.05</v>
      </c>
      <c r="G41" s="12">
        <v>14217</v>
      </c>
      <c r="H41" s="15">
        <f t="shared" si="0"/>
        <v>515</v>
      </c>
      <c r="K41" s="7">
        <v>45572</v>
      </c>
      <c r="L41" s="8">
        <v>2338</v>
      </c>
    </row>
    <row r="42" spans="1:12">
      <c r="A42" s="10">
        <v>45537</v>
      </c>
      <c r="B42" s="11" t="s">
        <v>8</v>
      </c>
      <c r="C42" s="12">
        <v>1098</v>
      </c>
      <c r="D42" s="13">
        <v>142</v>
      </c>
      <c r="E42" s="12">
        <v>359150</v>
      </c>
      <c r="F42" s="14">
        <v>7.51</v>
      </c>
      <c r="G42" s="12">
        <v>16385</v>
      </c>
      <c r="H42" s="15">
        <f t="shared" si="0"/>
        <v>956</v>
      </c>
      <c r="K42" s="7">
        <v>45656</v>
      </c>
      <c r="L42" s="8">
        <v>2337</v>
      </c>
    </row>
    <row r="43" spans="1:12">
      <c r="A43" s="10">
        <v>45537</v>
      </c>
      <c r="B43" s="11" t="s">
        <v>9</v>
      </c>
      <c r="C43" s="12">
        <v>1096</v>
      </c>
      <c r="D43" s="13">
        <v>65</v>
      </c>
      <c r="E43" s="12">
        <v>358295</v>
      </c>
      <c r="F43" s="14">
        <v>7.66</v>
      </c>
      <c r="G43" s="12">
        <v>24548</v>
      </c>
      <c r="H43" s="15">
        <f t="shared" si="0"/>
        <v>1031</v>
      </c>
      <c r="K43" s="7">
        <v>45726</v>
      </c>
      <c r="L43" s="8">
        <v>2315</v>
      </c>
    </row>
    <row r="44" spans="1:12">
      <c r="A44" s="10">
        <v>45544</v>
      </c>
      <c r="B44" s="11" t="s">
        <v>7</v>
      </c>
      <c r="C44" s="12">
        <v>912</v>
      </c>
      <c r="D44" s="13">
        <v>275</v>
      </c>
      <c r="E44" s="12">
        <v>368454</v>
      </c>
      <c r="F44" s="14">
        <v>6.03</v>
      </c>
      <c r="G44" s="12">
        <v>9195</v>
      </c>
      <c r="H44" s="15">
        <f t="shared" si="0"/>
        <v>637</v>
      </c>
      <c r="K44" s="7">
        <v>45838</v>
      </c>
      <c r="L44" s="8">
        <v>2315</v>
      </c>
    </row>
    <row r="45" spans="1:12">
      <c r="A45" s="10">
        <v>45544</v>
      </c>
      <c r="B45" s="11" t="s">
        <v>8</v>
      </c>
      <c r="C45" s="12">
        <v>1430</v>
      </c>
      <c r="D45" s="13">
        <v>162</v>
      </c>
      <c r="E45" s="12">
        <v>269082</v>
      </c>
      <c r="F45" s="14">
        <v>3.4</v>
      </c>
      <c r="G45" s="12">
        <v>18071</v>
      </c>
      <c r="H45" s="15">
        <f t="shared" si="0"/>
        <v>1268</v>
      </c>
      <c r="K45" s="7">
        <v>45523</v>
      </c>
      <c r="L45" s="8">
        <v>2300</v>
      </c>
    </row>
    <row r="46" spans="1:12">
      <c r="A46" s="10">
        <v>45544</v>
      </c>
      <c r="B46" s="11" t="s">
        <v>9</v>
      </c>
      <c r="C46" s="12">
        <v>854</v>
      </c>
      <c r="D46" s="13">
        <v>129</v>
      </c>
      <c r="E46" s="12">
        <v>310903</v>
      </c>
      <c r="F46" s="14">
        <v>7.83</v>
      </c>
      <c r="G46" s="12">
        <v>16875</v>
      </c>
      <c r="H46" s="15">
        <f t="shared" si="0"/>
        <v>725</v>
      </c>
      <c r="K46" s="7">
        <v>45621</v>
      </c>
      <c r="L46" s="8">
        <v>2287</v>
      </c>
    </row>
    <row r="47" spans="1:12">
      <c r="A47" s="10">
        <v>45551</v>
      </c>
      <c r="B47" s="11" t="s">
        <v>7</v>
      </c>
      <c r="C47" s="12">
        <v>681</v>
      </c>
      <c r="D47" s="13">
        <v>210</v>
      </c>
      <c r="E47" s="12">
        <v>248581</v>
      </c>
      <c r="F47" s="14">
        <v>8.76</v>
      </c>
      <c r="G47" s="12">
        <v>9567</v>
      </c>
      <c r="H47" s="15">
        <f t="shared" si="0"/>
        <v>471</v>
      </c>
      <c r="K47" s="7">
        <v>45495</v>
      </c>
      <c r="L47" s="8">
        <v>2281</v>
      </c>
    </row>
    <row r="48" spans="1:12">
      <c r="A48" s="10">
        <v>45551</v>
      </c>
      <c r="B48" s="11" t="s">
        <v>8</v>
      </c>
      <c r="C48" s="12">
        <v>1373</v>
      </c>
      <c r="D48" s="13">
        <v>82</v>
      </c>
      <c r="E48" s="12">
        <v>371015</v>
      </c>
      <c r="F48" s="14">
        <v>9.52</v>
      </c>
      <c r="G48" s="12">
        <v>20306</v>
      </c>
      <c r="H48" s="15">
        <f t="shared" si="0"/>
        <v>1291</v>
      </c>
      <c r="K48" s="7">
        <v>45817</v>
      </c>
      <c r="L48" s="8">
        <v>2243</v>
      </c>
    </row>
    <row r="49" spans="1:12">
      <c r="A49" s="10">
        <v>45551</v>
      </c>
      <c r="B49" s="11" t="s">
        <v>9</v>
      </c>
      <c r="C49" s="12">
        <v>685</v>
      </c>
      <c r="D49" s="13">
        <v>285</v>
      </c>
      <c r="E49" s="12">
        <v>177452</v>
      </c>
      <c r="F49" s="14">
        <v>3.36</v>
      </c>
      <c r="G49" s="12">
        <v>21134</v>
      </c>
      <c r="H49" s="15">
        <f t="shared" si="0"/>
        <v>400</v>
      </c>
      <c r="K49" s="7">
        <v>45733</v>
      </c>
      <c r="L49" s="8">
        <v>2188</v>
      </c>
    </row>
    <row r="50" spans="1:12">
      <c r="A50" s="10">
        <v>45558</v>
      </c>
      <c r="B50" s="11" t="s">
        <v>7</v>
      </c>
      <c r="C50" s="12">
        <v>1290</v>
      </c>
      <c r="D50" s="13">
        <v>177</v>
      </c>
      <c r="E50" s="12">
        <v>80745</v>
      </c>
      <c r="F50" s="14">
        <v>9.2200000000000006</v>
      </c>
      <c r="G50" s="12">
        <v>26872</v>
      </c>
      <c r="H50" s="15">
        <f t="shared" si="0"/>
        <v>1113</v>
      </c>
      <c r="K50" s="7">
        <v>45593</v>
      </c>
      <c r="L50" s="8">
        <v>2181</v>
      </c>
    </row>
    <row r="51" spans="1:12">
      <c r="A51" s="10">
        <v>45558</v>
      </c>
      <c r="B51" s="11" t="s">
        <v>8</v>
      </c>
      <c r="C51" s="12">
        <v>1437</v>
      </c>
      <c r="D51" s="13">
        <v>239</v>
      </c>
      <c r="E51" s="12">
        <v>362441</v>
      </c>
      <c r="F51" s="14">
        <v>5.57</v>
      </c>
      <c r="G51" s="12">
        <v>10253</v>
      </c>
      <c r="H51" s="15">
        <f t="shared" si="0"/>
        <v>1198</v>
      </c>
      <c r="K51" s="7">
        <v>45551</v>
      </c>
      <c r="L51" s="8">
        <v>2162</v>
      </c>
    </row>
    <row r="52" spans="1:12">
      <c r="A52" s="10">
        <v>45558</v>
      </c>
      <c r="B52" s="11" t="s">
        <v>9</v>
      </c>
      <c r="C52" s="12">
        <v>769</v>
      </c>
      <c r="D52" s="13">
        <v>295</v>
      </c>
      <c r="E52" s="12">
        <v>344771</v>
      </c>
      <c r="F52" s="14">
        <v>8.06</v>
      </c>
      <c r="G52" s="12">
        <v>23963</v>
      </c>
      <c r="H52" s="15">
        <f t="shared" si="0"/>
        <v>474</v>
      </c>
      <c r="K52" s="7">
        <v>45502</v>
      </c>
      <c r="L52" s="8">
        <v>2132</v>
      </c>
    </row>
    <row r="53" spans="1:12">
      <c r="A53" s="10">
        <v>45565</v>
      </c>
      <c r="B53" s="11" t="s">
        <v>7</v>
      </c>
      <c r="C53" s="12">
        <v>1416</v>
      </c>
      <c r="D53" s="13">
        <v>284</v>
      </c>
      <c r="E53" s="12">
        <v>374952</v>
      </c>
      <c r="F53" s="14">
        <v>3.45</v>
      </c>
      <c r="G53" s="12">
        <v>11335</v>
      </c>
      <c r="H53" s="15">
        <f t="shared" si="0"/>
        <v>1132</v>
      </c>
      <c r="K53" s="7">
        <v>45782</v>
      </c>
      <c r="L53" s="8">
        <v>2054</v>
      </c>
    </row>
    <row r="54" spans="1:12">
      <c r="A54" s="10">
        <v>45565</v>
      </c>
      <c r="B54" s="11" t="s">
        <v>8</v>
      </c>
      <c r="C54" s="12">
        <v>998</v>
      </c>
      <c r="D54" s="13">
        <v>154</v>
      </c>
      <c r="E54" s="12">
        <v>179781</v>
      </c>
      <c r="F54" s="14">
        <v>9.58</v>
      </c>
      <c r="G54" s="12">
        <v>12115</v>
      </c>
      <c r="H54" s="15">
        <f t="shared" si="0"/>
        <v>844</v>
      </c>
      <c r="K54" s="7">
        <v>45810</v>
      </c>
      <c r="L54" s="8">
        <v>2049</v>
      </c>
    </row>
    <row r="55" spans="1:12">
      <c r="A55" s="10">
        <v>45565</v>
      </c>
      <c r="B55" s="11" t="s">
        <v>9</v>
      </c>
      <c r="C55" s="12">
        <v>1421</v>
      </c>
      <c r="D55" s="13">
        <v>246</v>
      </c>
      <c r="E55" s="12">
        <v>358581</v>
      </c>
      <c r="F55" s="14">
        <v>8.8800000000000008</v>
      </c>
      <c r="G55" s="12">
        <v>24358</v>
      </c>
      <c r="H55" s="15">
        <f t="shared" si="0"/>
        <v>1175</v>
      </c>
      <c r="K55" s="7">
        <v>45824</v>
      </c>
      <c r="L55" s="8">
        <v>2017</v>
      </c>
    </row>
    <row r="56" spans="1:12">
      <c r="A56" s="10">
        <v>45572</v>
      </c>
      <c r="B56" s="11" t="s">
        <v>7</v>
      </c>
      <c r="C56" s="12">
        <v>764</v>
      </c>
      <c r="D56" s="13">
        <v>205</v>
      </c>
      <c r="E56" s="12">
        <v>319294</v>
      </c>
      <c r="F56" s="14">
        <v>6.23</v>
      </c>
      <c r="G56" s="12">
        <v>12181</v>
      </c>
      <c r="H56" s="15">
        <f t="shared" si="0"/>
        <v>559</v>
      </c>
      <c r="K56" s="7">
        <v>45614</v>
      </c>
      <c r="L56" s="8">
        <v>1935</v>
      </c>
    </row>
    <row r="57" spans="1:12">
      <c r="A57" s="10">
        <v>45572</v>
      </c>
      <c r="B57" s="11" t="s">
        <v>8</v>
      </c>
      <c r="C57" s="12">
        <v>678</v>
      </c>
      <c r="D57" s="13">
        <v>124</v>
      </c>
      <c r="E57" s="12">
        <v>192022</v>
      </c>
      <c r="F57" s="14">
        <v>8.4499999999999993</v>
      </c>
      <c r="G57" s="12">
        <v>17729</v>
      </c>
      <c r="H57" s="15">
        <f t="shared" si="0"/>
        <v>554</v>
      </c>
      <c r="K57" s="7">
        <v>45684</v>
      </c>
      <c r="L57" s="8">
        <v>1928</v>
      </c>
    </row>
    <row r="58" spans="1:12">
      <c r="A58" s="10">
        <v>45572</v>
      </c>
      <c r="B58" s="11" t="s">
        <v>9</v>
      </c>
      <c r="C58" s="12">
        <v>1328</v>
      </c>
      <c r="D58" s="13">
        <v>103</v>
      </c>
      <c r="E58" s="12">
        <v>151462</v>
      </c>
      <c r="F58" s="14">
        <v>8.4</v>
      </c>
      <c r="G58" s="12">
        <v>10881</v>
      </c>
      <c r="H58" s="15">
        <f t="shared" si="0"/>
        <v>1225</v>
      </c>
      <c r="K58" s="7">
        <v>45677</v>
      </c>
      <c r="L58" s="8">
        <v>1832</v>
      </c>
    </row>
    <row r="59" spans="1:12">
      <c r="A59" s="10">
        <v>45579</v>
      </c>
      <c r="B59" s="11" t="s">
        <v>7</v>
      </c>
      <c r="C59" s="12">
        <v>1161</v>
      </c>
      <c r="D59" s="13">
        <v>269</v>
      </c>
      <c r="E59" s="12">
        <v>188193</v>
      </c>
      <c r="F59" s="14">
        <v>7.34</v>
      </c>
      <c r="G59" s="12">
        <v>18576</v>
      </c>
      <c r="H59" s="15">
        <f t="shared" si="0"/>
        <v>892</v>
      </c>
      <c r="K59" s="7">
        <v>45887</v>
      </c>
      <c r="L59" s="8">
        <v>1819</v>
      </c>
    </row>
    <row r="60" spans="1:12">
      <c r="A60" s="10">
        <v>45579</v>
      </c>
      <c r="B60" s="11" t="s">
        <v>8</v>
      </c>
      <c r="C60" s="12">
        <v>588</v>
      </c>
      <c r="D60" s="13">
        <v>52</v>
      </c>
      <c r="E60" s="12">
        <v>292040</v>
      </c>
      <c r="F60" s="14">
        <v>8.14</v>
      </c>
      <c r="G60" s="12">
        <v>9383</v>
      </c>
      <c r="H60" s="15">
        <f t="shared" si="0"/>
        <v>536</v>
      </c>
      <c r="K60" s="7">
        <v>45768</v>
      </c>
      <c r="L60" s="8">
        <v>1728</v>
      </c>
    </row>
    <row r="61" spans="1:12">
      <c r="A61" s="10">
        <v>45579</v>
      </c>
      <c r="B61" s="11" t="s">
        <v>9</v>
      </c>
      <c r="C61" s="12">
        <v>1457</v>
      </c>
      <c r="D61" s="13">
        <v>215</v>
      </c>
      <c r="E61" s="12">
        <v>325325</v>
      </c>
      <c r="F61" s="14">
        <v>9.58</v>
      </c>
      <c r="G61" s="12">
        <v>14178</v>
      </c>
      <c r="H61" s="15">
        <f t="shared" si="0"/>
        <v>1242</v>
      </c>
      <c r="K61" s="7">
        <v>45712</v>
      </c>
      <c r="L61" s="8">
        <v>1713</v>
      </c>
    </row>
    <row r="62" spans="1:12">
      <c r="A62" s="10">
        <v>45586</v>
      </c>
      <c r="B62" s="11" t="s">
        <v>7</v>
      </c>
      <c r="C62" s="12">
        <v>1190</v>
      </c>
      <c r="D62" s="13">
        <v>242</v>
      </c>
      <c r="E62" s="12">
        <v>86849</v>
      </c>
      <c r="F62" s="14">
        <v>8.06</v>
      </c>
      <c r="G62" s="12">
        <v>21254</v>
      </c>
      <c r="H62" s="15">
        <f t="shared" si="0"/>
        <v>948</v>
      </c>
      <c r="K62" s="7">
        <v>45873</v>
      </c>
      <c r="L62" s="8">
        <v>1689</v>
      </c>
    </row>
    <row r="63" spans="1:12">
      <c r="A63" s="10">
        <v>45586</v>
      </c>
      <c r="B63" s="11" t="s">
        <v>8</v>
      </c>
      <c r="C63" s="12">
        <v>886</v>
      </c>
      <c r="D63" s="13">
        <v>124</v>
      </c>
      <c r="E63" s="12">
        <v>141161</v>
      </c>
      <c r="F63" s="14">
        <v>8.19</v>
      </c>
      <c r="G63" s="12">
        <v>14215</v>
      </c>
      <c r="H63" s="15">
        <f t="shared" si="0"/>
        <v>762</v>
      </c>
      <c r="K63" s="7">
        <v>45691</v>
      </c>
      <c r="L63" s="8">
        <v>1680</v>
      </c>
    </row>
    <row r="64" spans="1:12">
      <c r="A64" s="10">
        <v>45586</v>
      </c>
      <c r="B64" s="11" t="s">
        <v>9</v>
      </c>
      <c r="C64" s="12">
        <v>1237</v>
      </c>
      <c r="D64" s="13">
        <v>155</v>
      </c>
      <c r="E64" s="12">
        <v>149916</v>
      </c>
      <c r="F64" s="14">
        <v>4.4800000000000004</v>
      </c>
      <c r="G64" s="12">
        <v>16921</v>
      </c>
      <c r="H64" s="15">
        <f t="shared" si="0"/>
        <v>1082</v>
      </c>
      <c r="K64" s="7">
        <v>45705</v>
      </c>
      <c r="L64" s="8">
        <v>1543</v>
      </c>
    </row>
    <row r="65" spans="1:12">
      <c r="A65" s="10">
        <v>45593</v>
      </c>
      <c r="B65" s="11" t="s">
        <v>7</v>
      </c>
      <c r="C65" s="12">
        <v>1435</v>
      </c>
      <c r="D65" s="13">
        <v>261</v>
      </c>
      <c r="E65" s="12">
        <v>308533</v>
      </c>
      <c r="F65" s="14">
        <v>4.5199999999999996</v>
      </c>
      <c r="G65" s="12">
        <v>25130</v>
      </c>
      <c r="H65" s="15">
        <f t="shared" si="0"/>
        <v>1174</v>
      </c>
      <c r="K65" s="7">
        <v>45908</v>
      </c>
      <c r="L65" s="8">
        <v>1436</v>
      </c>
    </row>
    <row r="66" spans="1:12">
      <c r="A66" s="10">
        <v>45593</v>
      </c>
      <c r="B66" s="11" t="s">
        <v>8</v>
      </c>
      <c r="C66" s="12">
        <v>746</v>
      </c>
      <c r="D66" s="13">
        <v>282</v>
      </c>
      <c r="E66" s="12">
        <v>293894</v>
      </c>
      <c r="F66" s="14">
        <v>5.42</v>
      </c>
      <c r="G66" s="12">
        <v>25537</v>
      </c>
      <c r="H66" s="15">
        <f t="shared" si="0"/>
        <v>464</v>
      </c>
      <c r="K66" s="7">
        <v>45901</v>
      </c>
      <c r="L66" s="8">
        <v>1424</v>
      </c>
    </row>
    <row r="67" spans="1:12">
      <c r="A67" s="10">
        <v>45593</v>
      </c>
      <c r="B67" s="11" t="s">
        <v>9</v>
      </c>
      <c r="C67" s="12">
        <v>759</v>
      </c>
      <c r="D67" s="13">
        <v>216</v>
      </c>
      <c r="E67" s="12">
        <v>147656</v>
      </c>
      <c r="F67" s="14">
        <v>4.08</v>
      </c>
      <c r="G67" s="12">
        <v>24943</v>
      </c>
      <c r="H67" s="15">
        <f t="shared" ref="H67:H130" si="1">C67-D67</f>
        <v>543</v>
      </c>
      <c r="K67" s="7">
        <v>45789</v>
      </c>
      <c r="L67" s="8">
        <v>1400</v>
      </c>
    </row>
    <row r="68" spans="1:12">
      <c r="A68" s="10">
        <v>45600</v>
      </c>
      <c r="B68" s="11" t="s">
        <v>7</v>
      </c>
      <c r="C68" s="12">
        <v>1437</v>
      </c>
      <c r="D68" s="13">
        <v>235</v>
      </c>
      <c r="E68" s="12">
        <v>326791</v>
      </c>
      <c r="F68" s="14">
        <v>4.0599999999999996</v>
      </c>
      <c r="G68" s="12">
        <v>14563</v>
      </c>
      <c r="H68" s="15">
        <f t="shared" si="1"/>
        <v>1202</v>
      </c>
      <c r="K68" s="7">
        <v>45635</v>
      </c>
      <c r="L68" s="8">
        <v>1398</v>
      </c>
    </row>
    <row r="69" spans="1:12">
      <c r="A69" s="10">
        <v>45600</v>
      </c>
      <c r="B69" s="11" t="s">
        <v>8</v>
      </c>
      <c r="C69" s="12">
        <v>1463</v>
      </c>
      <c r="D69" s="13">
        <v>73</v>
      </c>
      <c r="E69" s="12">
        <v>348877</v>
      </c>
      <c r="F69" s="14">
        <v>9.91</v>
      </c>
      <c r="G69" s="12">
        <v>26273</v>
      </c>
      <c r="H69" s="15">
        <f t="shared" si="1"/>
        <v>1390</v>
      </c>
      <c r="K69" s="7">
        <v>45831</v>
      </c>
      <c r="L69" s="8">
        <v>1384</v>
      </c>
    </row>
    <row r="70" spans="1:12">
      <c r="A70" s="10">
        <v>45600</v>
      </c>
      <c r="B70" s="11" t="s">
        <v>9</v>
      </c>
      <c r="C70" s="12">
        <v>1208</v>
      </c>
      <c r="D70" s="13">
        <v>224</v>
      </c>
      <c r="E70" s="12">
        <v>122730</v>
      </c>
      <c r="F70" s="14">
        <v>8.7200000000000006</v>
      </c>
      <c r="G70" s="12">
        <v>10858</v>
      </c>
      <c r="H70" s="15">
        <f t="shared" si="1"/>
        <v>984</v>
      </c>
      <c r="K70" s="7" t="s">
        <v>11</v>
      </c>
      <c r="L70" s="8">
        <v>161588</v>
      </c>
    </row>
    <row r="71" spans="1:12">
      <c r="A71" s="10">
        <v>45607</v>
      </c>
      <c r="B71" s="11" t="s">
        <v>7</v>
      </c>
      <c r="C71" s="12">
        <v>1391</v>
      </c>
      <c r="D71" s="13">
        <v>187</v>
      </c>
      <c r="E71" s="12">
        <v>306508</v>
      </c>
      <c r="F71" s="14">
        <v>8.3800000000000008</v>
      </c>
      <c r="G71" s="12">
        <v>25038</v>
      </c>
      <c r="H71" s="15">
        <f t="shared" si="1"/>
        <v>1204</v>
      </c>
    </row>
    <row r="72" spans="1:12">
      <c r="A72" s="10">
        <v>45607</v>
      </c>
      <c r="B72" s="11" t="s">
        <v>8</v>
      </c>
      <c r="C72" s="12">
        <v>655</v>
      </c>
      <c r="D72" s="13">
        <v>123</v>
      </c>
      <c r="E72" s="12">
        <v>202472</v>
      </c>
      <c r="F72" s="14">
        <v>7.56</v>
      </c>
      <c r="G72" s="12">
        <v>9092</v>
      </c>
      <c r="H72" s="15">
        <f t="shared" si="1"/>
        <v>532</v>
      </c>
    </row>
    <row r="73" spans="1:12">
      <c r="A73" s="10">
        <v>45607</v>
      </c>
      <c r="B73" s="11" t="s">
        <v>9</v>
      </c>
      <c r="C73" s="12">
        <v>1148</v>
      </c>
      <c r="D73" s="13">
        <v>90</v>
      </c>
      <c r="E73" s="12">
        <v>227249</v>
      </c>
      <c r="F73" s="14">
        <v>7.24</v>
      </c>
      <c r="G73" s="12">
        <v>17662</v>
      </c>
      <c r="H73" s="15">
        <f t="shared" si="1"/>
        <v>1058</v>
      </c>
    </row>
    <row r="74" spans="1:12">
      <c r="A74" s="10">
        <v>45614</v>
      </c>
      <c r="B74" s="11" t="s">
        <v>7</v>
      </c>
      <c r="C74" s="12">
        <v>946</v>
      </c>
      <c r="D74" s="13">
        <v>270</v>
      </c>
      <c r="E74" s="12">
        <v>246567</v>
      </c>
      <c r="F74" s="14">
        <v>4.53</v>
      </c>
      <c r="G74" s="12">
        <v>5924</v>
      </c>
      <c r="H74" s="15">
        <f t="shared" si="1"/>
        <v>676</v>
      </c>
    </row>
    <row r="75" spans="1:12">
      <c r="A75" s="10">
        <v>45614</v>
      </c>
      <c r="B75" s="11" t="s">
        <v>8</v>
      </c>
      <c r="C75" s="12">
        <v>791</v>
      </c>
      <c r="D75" s="13">
        <v>214</v>
      </c>
      <c r="E75" s="12">
        <v>114738</v>
      </c>
      <c r="F75" s="14">
        <v>6.62</v>
      </c>
      <c r="G75" s="12">
        <v>25347</v>
      </c>
      <c r="H75" s="15">
        <f t="shared" si="1"/>
        <v>577</v>
      </c>
    </row>
    <row r="76" spans="1:12">
      <c r="A76" s="10">
        <v>45614</v>
      </c>
      <c r="B76" s="11" t="s">
        <v>9</v>
      </c>
      <c r="C76" s="12">
        <v>793</v>
      </c>
      <c r="D76" s="13">
        <v>111</v>
      </c>
      <c r="E76" s="12">
        <v>333500</v>
      </c>
      <c r="F76" s="14">
        <v>6.36</v>
      </c>
      <c r="G76" s="12">
        <v>8910</v>
      </c>
      <c r="H76" s="15">
        <f t="shared" si="1"/>
        <v>682</v>
      </c>
    </row>
    <row r="77" spans="1:12">
      <c r="A77" s="10">
        <v>45621</v>
      </c>
      <c r="B77" s="11" t="s">
        <v>7</v>
      </c>
      <c r="C77" s="12">
        <v>663</v>
      </c>
      <c r="D77" s="13">
        <v>213</v>
      </c>
      <c r="E77" s="12">
        <v>352677</v>
      </c>
      <c r="F77" s="14">
        <v>9</v>
      </c>
      <c r="G77" s="12">
        <v>20438</v>
      </c>
      <c r="H77" s="15">
        <f t="shared" si="1"/>
        <v>450</v>
      </c>
    </row>
    <row r="78" spans="1:12">
      <c r="A78" s="10">
        <v>45621</v>
      </c>
      <c r="B78" s="11" t="s">
        <v>8</v>
      </c>
      <c r="C78" s="12">
        <v>954</v>
      </c>
      <c r="D78" s="13">
        <v>271</v>
      </c>
      <c r="E78" s="12">
        <v>160936</v>
      </c>
      <c r="F78" s="14">
        <v>8.83</v>
      </c>
      <c r="G78" s="12">
        <v>8760</v>
      </c>
      <c r="H78" s="15">
        <f t="shared" si="1"/>
        <v>683</v>
      </c>
    </row>
    <row r="79" spans="1:12">
      <c r="A79" s="10">
        <v>45621</v>
      </c>
      <c r="B79" s="11" t="s">
        <v>9</v>
      </c>
      <c r="C79" s="12">
        <v>1313</v>
      </c>
      <c r="D79" s="13">
        <v>159</v>
      </c>
      <c r="E79" s="12">
        <v>197183</v>
      </c>
      <c r="F79" s="14">
        <v>9.7100000000000009</v>
      </c>
      <c r="G79" s="12">
        <v>6625</v>
      </c>
      <c r="H79" s="15">
        <f t="shared" si="1"/>
        <v>1154</v>
      </c>
    </row>
    <row r="80" spans="1:12">
      <c r="A80" s="10">
        <v>45628</v>
      </c>
      <c r="B80" s="11" t="s">
        <v>7</v>
      </c>
      <c r="C80" s="12">
        <v>895</v>
      </c>
      <c r="D80" s="13">
        <v>87</v>
      </c>
      <c r="E80" s="12">
        <v>171271</v>
      </c>
      <c r="F80" s="14">
        <v>6.68</v>
      </c>
      <c r="G80" s="12">
        <v>23329</v>
      </c>
      <c r="H80" s="15">
        <f t="shared" si="1"/>
        <v>808</v>
      </c>
    </row>
    <row r="81" spans="1:8">
      <c r="A81" s="10">
        <v>45628</v>
      </c>
      <c r="B81" s="11" t="s">
        <v>8</v>
      </c>
      <c r="C81" s="12">
        <v>1027</v>
      </c>
      <c r="D81" s="13">
        <v>156</v>
      </c>
      <c r="E81" s="12">
        <v>111293</v>
      </c>
      <c r="F81" s="14">
        <v>5.51</v>
      </c>
      <c r="G81" s="12">
        <v>7299</v>
      </c>
      <c r="H81" s="15">
        <f t="shared" si="1"/>
        <v>871</v>
      </c>
    </row>
    <row r="82" spans="1:8">
      <c r="A82" s="10">
        <v>45628</v>
      </c>
      <c r="B82" s="11" t="s">
        <v>9</v>
      </c>
      <c r="C82" s="12">
        <v>990</v>
      </c>
      <c r="D82" s="13">
        <v>286</v>
      </c>
      <c r="E82" s="12">
        <v>351493</v>
      </c>
      <c r="F82" s="14">
        <v>7.97</v>
      </c>
      <c r="G82" s="12">
        <v>14496</v>
      </c>
      <c r="H82" s="15">
        <f t="shared" si="1"/>
        <v>704</v>
      </c>
    </row>
    <row r="83" spans="1:8">
      <c r="A83" s="10">
        <v>45635</v>
      </c>
      <c r="B83" s="11" t="s">
        <v>7</v>
      </c>
      <c r="C83" s="12">
        <v>875</v>
      </c>
      <c r="D83" s="13">
        <v>264</v>
      </c>
      <c r="E83" s="12">
        <v>345631</v>
      </c>
      <c r="F83" s="14">
        <v>9.18</v>
      </c>
      <c r="G83" s="12">
        <v>25703</v>
      </c>
      <c r="H83" s="15">
        <f t="shared" si="1"/>
        <v>611</v>
      </c>
    </row>
    <row r="84" spans="1:8">
      <c r="A84" s="10">
        <v>45635</v>
      </c>
      <c r="B84" s="11" t="s">
        <v>8</v>
      </c>
      <c r="C84" s="12">
        <v>599</v>
      </c>
      <c r="D84" s="13">
        <v>194</v>
      </c>
      <c r="E84" s="12">
        <v>105622</v>
      </c>
      <c r="F84" s="14">
        <v>6.44</v>
      </c>
      <c r="G84" s="12">
        <v>15108</v>
      </c>
      <c r="H84" s="15">
        <f t="shared" si="1"/>
        <v>405</v>
      </c>
    </row>
    <row r="85" spans="1:8">
      <c r="A85" s="10">
        <v>45635</v>
      </c>
      <c r="B85" s="11" t="s">
        <v>9</v>
      </c>
      <c r="C85" s="12">
        <v>630</v>
      </c>
      <c r="D85" s="13">
        <v>248</v>
      </c>
      <c r="E85" s="12">
        <v>119054</v>
      </c>
      <c r="F85" s="14">
        <v>5.0199999999999996</v>
      </c>
      <c r="G85" s="12">
        <v>18867</v>
      </c>
      <c r="H85" s="15">
        <f t="shared" si="1"/>
        <v>382</v>
      </c>
    </row>
    <row r="86" spans="1:8">
      <c r="A86" s="10">
        <v>45642</v>
      </c>
      <c r="B86" s="11" t="s">
        <v>7</v>
      </c>
      <c r="C86" s="12">
        <v>1350</v>
      </c>
      <c r="D86" s="13">
        <v>233</v>
      </c>
      <c r="E86" s="12">
        <v>171670</v>
      </c>
      <c r="F86" s="14">
        <v>4.53</v>
      </c>
      <c r="G86" s="12">
        <v>17574</v>
      </c>
      <c r="H86" s="15">
        <f t="shared" si="1"/>
        <v>1117</v>
      </c>
    </row>
    <row r="87" spans="1:8">
      <c r="A87" s="10">
        <v>45642</v>
      </c>
      <c r="B87" s="11" t="s">
        <v>8</v>
      </c>
      <c r="C87" s="12">
        <v>632</v>
      </c>
      <c r="D87" s="13">
        <v>155</v>
      </c>
      <c r="E87" s="12">
        <v>170432</v>
      </c>
      <c r="F87" s="14">
        <v>9.17</v>
      </c>
      <c r="G87" s="12">
        <v>12840</v>
      </c>
      <c r="H87" s="15">
        <f t="shared" si="1"/>
        <v>477</v>
      </c>
    </row>
    <row r="88" spans="1:8">
      <c r="A88" s="10">
        <v>45642</v>
      </c>
      <c r="B88" s="11" t="s">
        <v>9</v>
      </c>
      <c r="C88" s="12">
        <v>1182</v>
      </c>
      <c r="D88" s="13">
        <v>83</v>
      </c>
      <c r="E88" s="12">
        <v>140300</v>
      </c>
      <c r="F88" s="14">
        <v>3.27</v>
      </c>
      <c r="G88" s="12">
        <v>21079</v>
      </c>
      <c r="H88" s="15">
        <f t="shared" si="1"/>
        <v>1099</v>
      </c>
    </row>
    <row r="89" spans="1:8">
      <c r="A89" s="10">
        <v>45649</v>
      </c>
      <c r="B89" s="11" t="s">
        <v>7</v>
      </c>
      <c r="C89" s="12">
        <v>661</v>
      </c>
      <c r="D89" s="13">
        <v>94</v>
      </c>
      <c r="E89" s="12">
        <v>116538</v>
      </c>
      <c r="F89" s="14">
        <v>5.31</v>
      </c>
      <c r="G89" s="12">
        <v>23486</v>
      </c>
      <c r="H89" s="15">
        <f t="shared" si="1"/>
        <v>567</v>
      </c>
    </row>
    <row r="90" spans="1:8">
      <c r="A90" s="10">
        <v>45649</v>
      </c>
      <c r="B90" s="11" t="s">
        <v>8</v>
      </c>
      <c r="C90" s="12">
        <v>1360</v>
      </c>
      <c r="D90" s="13">
        <v>227</v>
      </c>
      <c r="E90" s="12">
        <v>176902</v>
      </c>
      <c r="F90" s="14">
        <v>6.03</v>
      </c>
      <c r="G90" s="12">
        <v>5960</v>
      </c>
      <c r="H90" s="15">
        <f t="shared" si="1"/>
        <v>1133</v>
      </c>
    </row>
    <row r="91" spans="1:8">
      <c r="A91" s="10">
        <v>45649</v>
      </c>
      <c r="B91" s="11" t="s">
        <v>9</v>
      </c>
      <c r="C91" s="12">
        <v>935</v>
      </c>
      <c r="D91" s="13">
        <v>85</v>
      </c>
      <c r="E91" s="12">
        <v>326821</v>
      </c>
      <c r="F91" s="14">
        <v>8.89</v>
      </c>
      <c r="G91" s="12">
        <v>13301</v>
      </c>
      <c r="H91" s="15">
        <f t="shared" si="1"/>
        <v>850</v>
      </c>
    </row>
    <row r="92" spans="1:8">
      <c r="A92" s="10">
        <v>45656</v>
      </c>
      <c r="B92" s="11" t="s">
        <v>7</v>
      </c>
      <c r="C92" s="12">
        <v>664</v>
      </c>
      <c r="D92" s="13">
        <v>251</v>
      </c>
      <c r="E92" s="12">
        <v>240598</v>
      </c>
      <c r="F92" s="14">
        <v>4.79</v>
      </c>
      <c r="G92" s="12">
        <v>10563</v>
      </c>
      <c r="H92" s="15">
        <f t="shared" si="1"/>
        <v>413</v>
      </c>
    </row>
    <row r="93" spans="1:8">
      <c r="A93" s="10">
        <v>45656</v>
      </c>
      <c r="B93" s="11" t="s">
        <v>8</v>
      </c>
      <c r="C93" s="12">
        <v>1490</v>
      </c>
      <c r="D93" s="13">
        <v>103</v>
      </c>
      <c r="E93" s="12">
        <v>373274</v>
      </c>
      <c r="F93" s="14">
        <v>4.8</v>
      </c>
      <c r="G93" s="12">
        <v>19949</v>
      </c>
      <c r="H93" s="15">
        <f t="shared" si="1"/>
        <v>1387</v>
      </c>
    </row>
    <row r="94" spans="1:8">
      <c r="A94" s="10">
        <v>45656</v>
      </c>
      <c r="B94" s="11" t="s">
        <v>9</v>
      </c>
      <c r="C94" s="12">
        <v>601</v>
      </c>
      <c r="D94" s="13">
        <v>64</v>
      </c>
      <c r="E94" s="12">
        <v>123272</v>
      </c>
      <c r="F94" s="14">
        <v>4.07</v>
      </c>
      <c r="G94" s="12">
        <v>14273</v>
      </c>
      <c r="H94" s="15">
        <f t="shared" si="1"/>
        <v>537</v>
      </c>
    </row>
    <row r="95" spans="1:8">
      <c r="A95" s="10">
        <v>45663</v>
      </c>
      <c r="B95" s="11" t="s">
        <v>7</v>
      </c>
      <c r="C95" s="12">
        <v>613</v>
      </c>
      <c r="D95" s="13">
        <v>170</v>
      </c>
      <c r="E95" s="12">
        <v>139266</v>
      </c>
      <c r="F95" s="14">
        <v>6.06</v>
      </c>
      <c r="G95" s="12">
        <v>9247</v>
      </c>
      <c r="H95" s="15">
        <f t="shared" si="1"/>
        <v>443</v>
      </c>
    </row>
    <row r="96" spans="1:8">
      <c r="A96" s="10">
        <v>45663</v>
      </c>
      <c r="B96" s="11" t="s">
        <v>8</v>
      </c>
      <c r="C96" s="12">
        <v>1340</v>
      </c>
      <c r="D96" s="13">
        <v>57</v>
      </c>
      <c r="E96" s="12">
        <v>155927</v>
      </c>
      <c r="F96" s="14">
        <v>7.79</v>
      </c>
      <c r="G96" s="12">
        <v>11972</v>
      </c>
      <c r="H96" s="15">
        <f t="shared" si="1"/>
        <v>1283</v>
      </c>
    </row>
    <row r="97" spans="1:8">
      <c r="A97" s="10">
        <v>45663</v>
      </c>
      <c r="B97" s="11" t="s">
        <v>9</v>
      </c>
      <c r="C97" s="12">
        <v>953</v>
      </c>
      <c r="D97" s="13">
        <v>228</v>
      </c>
      <c r="E97" s="12">
        <v>258398</v>
      </c>
      <c r="F97" s="14">
        <v>9.0500000000000007</v>
      </c>
      <c r="G97" s="12">
        <v>13314</v>
      </c>
      <c r="H97" s="15">
        <f t="shared" si="1"/>
        <v>725</v>
      </c>
    </row>
    <row r="98" spans="1:8">
      <c r="A98" s="10">
        <v>45670</v>
      </c>
      <c r="B98" s="11" t="s">
        <v>7</v>
      </c>
      <c r="C98" s="12">
        <v>532</v>
      </c>
      <c r="D98" s="13">
        <v>65</v>
      </c>
      <c r="E98" s="12">
        <v>338561</v>
      </c>
      <c r="F98" s="14">
        <v>3.5</v>
      </c>
      <c r="G98" s="12">
        <v>14749</v>
      </c>
      <c r="H98" s="15">
        <f t="shared" si="1"/>
        <v>467</v>
      </c>
    </row>
    <row r="99" spans="1:8">
      <c r="A99" s="10">
        <v>45670</v>
      </c>
      <c r="B99" s="11" t="s">
        <v>8</v>
      </c>
      <c r="C99" s="12">
        <v>1414</v>
      </c>
      <c r="D99" s="13">
        <v>60</v>
      </c>
      <c r="E99" s="12">
        <v>341856</v>
      </c>
      <c r="F99" s="14">
        <v>8.76</v>
      </c>
      <c r="G99" s="12">
        <v>6868</v>
      </c>
      <c r="H99" s="15">
        <f t="shared" si="1"/>
        <v>1354</v>
      </c>
    </row>
    <row r="100" spans="1:8">
      <c r="A100" s="10">
        <v>45670</v>
      </c>
      <c r="B100" s="11" t="s">
        <v>9</v>
      </c>
      <c r="C100" s="12">
        <v>685</v>
      </c>
      <c r="D100" s="13">
        <v>165</v>
      </c>
      <c r="E100" s="12">
        <v>175860</v>
      </c>
      <c r="F100" s="14">
        <v>6.26</v>
      </c>
      <c r="G100" s="12">
        <v>6027</v>
      </c>
      <c r="H100" s="15">
        <f t="shared" si="1"/>
        <v>520</v>
      </c>
    </row>
    <row r="101" spans="1:8">
      <c r="A101" s="10">
        <v>45677</v>
      </c>
      <c r="B101" s="11" t="s">
        <v>7</v>
      </c>
      <c r="C101" s="12">
        <v>601</v>
      </c>
      <c r="D101" s="13">
        <v>159</v>
      </c>
      <c r="E101" s="12">
        <v>327722</v>
      </c>
      <c r="F101" s="14">
        <v>3.33</v>
      </c>
      <c r="G101" s="12">
        <v>25267</v>
      </c>
      <c r="H101" s="15">
        <f t="shared" si="1"/>
        <v>442</v>
      </c>
    </row>
    <row r="102" spans="1:8">
      <c r="A102" s="10">
        <v>45677</v>
      </c>
      <c r="B102" s="11" t="s">
        <v>8</v>
      </c>
      <c r="C102" s="12">
        <v>841</v>
      </c>
      <c r="D102" s="13">
        <v>295</v>
      </c>
      <c r="E102" s="12">
        <v>271638</v>
      </c>
      <c r="F102" s="14">
        <v>9.15</v>
      </c>
      <c r="G102" s="12">
        <v>5900</v>
      </c>
      <c r="H102" s="15">
        <f t="shared" si="1"/>
        <v>546</v>
      </c>
    </row>
    <row r="103" spans="1:8">
      <c r="A103" s="10">
        <v>45677</v>
      </c>
      <c r="B103" s="11" t="s">
        <v>9</v>
      </c>
      <c r="C103" s="12">
        <v>1105</v>
      </c>
      <c r="D103" s="13">
        <v>261</v>
      </c>
      <c r="E103" s="12">
        <v>333851</v>
      </c>
      <c r="F103" s="14">
        <v>6.03</v>
      </c>
      <c r="G103" s="12">
        <v>11181</v>
      </c>
      <c r="H103" s="15">
        <f t="shared" si="1"/>
        <v>844</v>
      </c>
    </row>
    <row r="104" spans="1:8">
      <c r="A104" s="10">
        <v>45684</v>
      </c>
      <c r="B104" s="11" t="s">
        <v>7</v>
      </c>
      <c r="C104" s="12">
        <v>566</v>
      </c>
      <c r="D104" s="13">
        <v>225</v>
      </c>
      <c r="E104" s="12">
        <v>368984</v>
      </c>
      <c r="F104" s="14">
        <v>9.82</v>
      </c>
      <c r="G104" s="12">
        <v>9592</v>
      </c>
      <c r="H104" s="15">
        <f t="shared" si="1"/>
        <v>341</v>
      </c>
    </row>
    <row r="105" spans="1:8">
      <c r="A105" s="10">
        <v>45684</v>
      </c>
      <c r="B105" s="11" t="s">
        <v>8</v>
      </c>
      <c r="C105" s="12">
        <v>1149</v>
      </c>
      <c r="D105" s="13">
        <v>280</v>
      </c>
      <c r="E105" s="12">
        <v>167310</v>
      </c>
      <c r="F105" s="14">
        <v>3.7</v>
      </c>
      <c r="G105" s="12">
        <v>5291</v>
      </c>
      <c r="H105" s="15">
        <f t="shared" si="1"/>
        <v>869</v>
      </c>
    </row>
    <row r="106" spans="1:8">
      <c r="A106" s="10">
        <v>45684</v>
      </c>
      <c r="B106" s="11" t="s">
        <v>9</v>
      </c>
      <c r="C106" s="12">
        <v>819</v>
      </c>
      <c r="D106" s="13">
        <v>101</v>
      </c>
      <c r="E106" s="12">
        <v>194811</v>
      </c>
      <c r="F106" s="14">
        <v>3.35</v>
      </c>
      <c r="G106" s="12">
        <v>22244</v>
      </c>
      <c r="H106" s="15">
        <f t="shared" si="1"/>
        <v>718</v>
      </c>
    </row>
    <row r="107" spans="1:8">
      <c r="A107" s="10">
        <v>45691</v>
      </c>
      <c r="B107" s="11" t="s">
        <v>7</v>
      </c>
      <c r="C107" s="12">
        <v>795</v>
      </c>
      <c r="D107" s="13">
        <v>60</v>
      </c>
      <c r="E107" s="12">
        <v>314982</v>
      </c>
      <c r="F107" s="14">
        <v>7.31</v>
      </c>
      <c r="G107" s="12">
        <v>6824</v>
      </c>
      <c r="H107" s="15">
        <f t="shared" si="1"/>
        <v>735</v>
      </c>
    </row>
    <row r="108" spans="1:8">
      <c r="A108" s="10">
        <v>45691</v>
      </c>
      <c r="B108" s="11" t="s">
        <v>8</v>
      </c>
      <c r="C108" s="12">
        <v>681</v>
      </c>
      <c r="D108" s="13">
        <v>158</v>
      </c>
      <c r="E108" s="12">
        <v>75960</v>
      </c>
      <c r="F108" s="14">
        <v>3.13</v>
      </c>
      <c r="G108" s="12">
        <v>24112</v>
      </c>
      <c r="H108" s="15">
        <f t="shared" si="1"/>
        <v>523</v>
      </c>
    </row>
    <row r="109" spans="1:8">
      <c r="A109" s="10">
        <v>45691</v>
      </c>
      <c r="B109" s="11" t="s">
        <v>9</v>
      </c>
      <c r="C109" s="12">
        <v>534</v>
      </c>
      <c r="D109" s="13">
        <v>112</v>
      </c>
      <c r="E109" s="12">
        <v>360759</v>
      </c>
      <c r="F109" s="14">
        <v>4.8899999999999997</v>
      </c>
      <c r="G109" s="12">
        <v>25478</v>
      </c>
      <c r="H109" s="15">
        <f t="shared" si="1"/>
        <v>422</v>
      </c>
    </row>
    <row r="110" spans="1:8">
      <c r="A110" s="10">
        <v>45698</v>
      </c>
      <c r="B110" s="11" t="s">
        <v>7</v>
      </c>
      <c r="C110" s="12">
        <v>1066</v>
      </c>
      <c r="D110" s="13">
        <v>151</v>
      </c>
      <c r="E110" s="12">
        <v>297090</v>
      </c>
      <c r="F110" s="14">
        <v>8.6300000000000008</v>
      </c>
      <c r="G110" s="12">
        <v>11235</v>
      </c>
      <c r="H110" s="15">
        <f t="shared" si="1"/>
        <v>915</v>
      </c>
    </row>
    <row r="111" spans="1:8">
      <c r="A111" s="10">
        <v>45698</v>
      </c>
      <c r="B111" s="11" t="s">
        <v>8</v>
      </c>
      <c r="C111" s="12">
        <v>1270</v>
      </c>
      <c r="D111" s="13">
        <v>162</v>
      </c>
      <c r="E111" s="12">
        <v>92040</v>
      </c>
      <c r="F111" s="14">
        <v>8.0299999999999994</v>
      </c>
      <c r="G111" s="12">
        <v>6120</v>
      </c>
      <c r="H111" s="15">
        <f t="shared" si="1"/>
        <v>1108</v>
      </c>
    </row>
    <row r="112" spans="1:8">
      <c r="A112" s="10">
        <v>45698</v>
      </c>
      <c r="B112" s="11" t="s">
        <v>9</v>
      </c>
      <c r="C112" s="12">
        <v>536</v>
      </c>
      <c r="D112" s="13">
        <v>198</v>
      </c>
      <c r="E112" s="12">
        <v>174610</v>
      </c>
      <c r="F112" s="14">
        <v>7.85</v>
      </c>
      <c r="G112" s="12">
        <v>20572</v>
      </c>
      <c r="H112" s="15">
        <f t="shared" si="1"/>
        <v>338</v>
      </c>
    </row>
    <row r="113" spans="1:8">
      <c r="A113" s="10">
        <v>45705</v>
      </c>
      <c r="B113" s="11" t="s">
        <v>7</v>
      </c>
      <c r="C113" s="12">
        <v>819</v>
      </c>
      <c r="D113" s="13">
        <v>95</v>
      </c>
      <c r="E113" s="12">
        <v>177376</v>
      </c>
      <c r="F113" s="14">
        <v>6.12</v>
      </c>
      <c r="G113" s="12">
        <v>14975</v>
      </c>
      <c r="H113" s="15">
        <f t="shared" si="1"/>
        <v>724</v>
      </c>
    </row>
    <row r="114" spans="1:8">
      <c r="A114" s="10">
        <v>45705</v>
      </c>
      <c r="B114" s="11" t="s">
        <v>8</v>
      </c>
      <c r="C114" s="12">
        <v>681</v>
      </c>
      <c r="D114" s="13">
        <v>218</v>
      </c>
      <c r="E114" s="12">
        <v>198882</v>
      </c>
      <c r="F114" s="14">
        <v>7.16</v>
      </c>
      <c r="G114" s="12">
        <v>22234</v>
      </c>
      <c r="H114" s="15">
        <f t="shared" si="1"/>
        <v>463</v>
      </c>
    </row>
    <row r="115" spans="1:8">
      <c r="A115" s="10">
        <v>45705</v>
      </c>
      <c r="B115" s="11" t="s">
        <v>9</v>
      </c>
      <c r="C115" s="12">
        <v>646</v>
      </c>
      <c r="D115" s="13">
        <v>290</v>
      </c>
      <c r="E115" s="12">
        <v>336383</v>
      </c>
      <c r="F115" s="14">
        <v>7.04</v>
      </c>
      <c r="G115" s="12">
        <v>6532</v>
      </c>
      <c r="H115" s="15">
        <f t="shared" si="1"/>
        <v>356</v>
      </c>
    </row>
    <row r="116" spans="1:8">
      <c r="A116" s="10">
        <v>45712</v>
      </c>
      <c r="B116" s="11" t="s">
        <v>7</v>
      </c>
      <c r="C116" s="12">
        <v>645</v>
      </c>
      <c r="D116" s="13">
        <v>267</v>
      </c>
      <c r="E116" s="12">
        <v>346890</v>
      </c>
      <c r="F116" s="14">
        <v>3.71</v>
      </c>
      <c r="G116" s="12">
        <v>24858</v>
      </c>
      <c r="H116" s="15">
        <f t="shared" si="1"/>
        <v>378</v>
      </c>
    </row>
    <row r="117" spans="1:8">
      <c r="A117" s="10">
        <v>45712</v>
      </c>
      <c r="B117" s="11" t="s">
        <v>8</v>
      </c>
      <c r="C117" s="12">
        <v>886</v>
      </c>
      <c r="D117" s="13">
        <v>250</v>
      </c>
      <c r="E117" s="12">
        <v>168170</v>
      </c>
      <c r="F117" s="14">
        <v>4.12</v>
      </c>
      <c r="G117" s="12">
        <v>13883</v>
      </c>
      <c r="H117" s="15">
        <f t="shared" si="1"/>
        <v>636</v>
      </c>
    </row>
    <row r="118" spans="1:8">
      <c r="A118" s="10">
        <v>45712</v>
      </c>
      <c r="B118" s="11" t="s">
        <v>9</v>
      </c>
      <c r="C118" s="12">
        <v>978</v>
      </c>
      <c r="D118" s="13">
        <v>279</v>
      </c>
      <c r="E118" s="12">
        <v>368872</v>
      </c>
      <c r="F118" s="14">
        <v>6.82</v>
      </c>
      <c r="G118" s="12">
        <v>18654</v>
      </c>
      <c r="H118" s="15">
        <f t="shared" si="1"/>
        <v>699</v>
      </c>
    </row>
    <row r="119" spans="1:8">
      <c r="A119" s="10">
        <v>45719</v>
      </c>
      <c r="B119" s="11" t="s">
        <v>7</v>
      </c>
      <c r="C119" s="12">
        <v>1444</v>
      </c>
      <c r="D119" s="13">
        <v>165</v>
      </c>
      <c r="E119" s="12">
        <v>116436</v>
      </c>
      <c r="F119" s="14">
        <v>8.2200000000000006</v>
      </c>
      <c r="G119" s="12">
        <v>25234</v>
      </c>
      <c r="H119" s="15">
        <f t="shared" si="1"/>
        <v>1279</v>
      </c>
    </row>
    <row r="120" spans="1:8">
      <c r="A120" s="10">
        <v>45719</v>
      </c>
      <c r="B120" s="11" t="s">
        <v>8</v>
      </c>
      <c r="C120" s="12">
        <v>1234</v>
      </c>
      <c r="D120" s="13">
        <v>228</v>
      </c>
      <c r="E120" s="12">
        <v>127502</v>
      </c>
      <c r="F120" s="14">
        <v>7.71</v>
      </c>
      <c r="G120" s="12">
        <v>6772</v>
      </c>
      <c r="H120" s="15">
        <f t="shared" si="1"/>
        <v>1006</v>
      </c>
    </row>
    <row r="121" spans="1:8">
      <c r="A121" s="10">
        <v>45719</v>
      </c>
      <c r="B121" s="11" t="s">
        <v>9</v>
      </c>
      <c r="C121" s="12">
        <v>665</v>
      </c>
      <c r="D121" s="13">
        <v>187</v>
      </c>
      <c r="E121" s="12">
        <v>274567</v>
      </c>
      <c r="F121" s="14">
        <v>7.39</v>
      </c>
      <c r="G121" s="12">
        <v>22428</v>
      </c>
      <c r="H121" s="15">
        <f t="shared" si="1"/>
        <v>478</v>
      </c>
    </row>
    <row r="122" spans="1:8">
      <c r="A122" s="10">
        <v>45726</v>
      </c>
      <c r="B122" s="11" t="s">
        <v>7</v>
      </c>
      <c r="C122" s="12">
        <v>631</v>
      </c>
      <c r="D122" s="13">
        <v>86</v>
      </c>
      <c r="E122" s="12">
        <v>295090</v>
      </c>
      <c r="F122" s="14">
        <v>7.89</v>
      </c>
      <c r="G122" s="12">
        <v>11911</v>
      </c>
      <c r="H122" s="15">
        <f t="shared" si="1"/>
        <v>545</v>
      </c>
    </row>
    <row r="123" spans="1:8">
      <c r="A123" s="10">
        <v>45726</v>
      </c>
      <c r="B123" s="11" t="s">
        <v>8</v>
      </c>
      <c r="C123" s="12">
        <v>1159</v>
      </c>
      <c r="D123" s="13">
        <v>154</v>
      </c>
      <c r="E123" s="12">
        <v>194994</v>
      </c>
      <c r="F123" s="14">
        <v>6.39</v>
      </c>
      <c r="G123" s="12">
        <v>21900</v>
      </c>
      <c r="H123" s="15">
        <f t="shared" si="1"/>
        <v>1005</v>
      </c>
    </row>
    <row r="124" spans="1:8">
      <c r="A124" s="10">
        <v>45726</v>
      </c>
      <c r="B124" s="11" t="s">
        <v>9</v>
      </c>
      <c r="C124" s="12">
        <v>950</v>
      </c>
      <c r="D124" s="13">
        <v>185</v>
      </c>
      <c r="E124" s="12">
        <v>340750</v>
      </c>
      <c r="F124" s="14">
        <v>6.77</v>
      </c>
      <c r="G124" s="12">
        <v>25542</v>
      </c>
      <c r="H124" s="15">
        <f t="shared" si="1"/>
        <v>765</v>
      </c>
    </row>
    <row r="125" spans="1:8">
      <c r="A125" s="10">
        <v>45733</v>
      </c>
      <c r="B125" s="11" t="s">
        <v>7</v>
      </c>
      <c r="C125" s="12">
        <v>693</v>
      </c>
      <c r="D125" s="13">
        <v>129</v>
      </c>
      <c r="E125" s="12">
        <v>296031</v>
      </c>
      <c r="F125" s="14">
        <v>3.41</v>
      </c>
      <c r="G125" s="12">
        <v>7140</v>
      </c>
      <c r="H125" s="15">
        <f t="shared" si="1"/>
        <v>564</v>
      </c>
    </row>
    <row r="126" spans="1:8">
      <c r="A126" s="10">
        <v>45733</v>
      </c>
      <c r="B126" s="11" t="s">
        <v>8</v>
      </c>
      <c r="C126" s="12">
        <v>576</v>
      </c>
      <c r="D126" s="13">
        <v>80</v>
      </c>
      <c r="E126" s="12">
        <v>345688</v>
      </c>
      <c r="F126" s="14">
        <v>4.1100000000000003</v>
      </c>
      <c r="G126" s="12">
        <v>20474</v>
      </c>
      <c r="H126" s="15">
        <f t="shared" si="1"/>
        <v>496</v>
      </c>
    </row>
    <row r="127" spans="1:8">
      <c r="A127" s="10">
        <v>45733</v>
      </c>
      <c r="B127" s="11" t="s">
        <v>9</v>
      </c>
      <c r="C127" s="12">
        <v>1274</v>
      </c>
      <c r="D127" s="13">
        <v>146</v>
      </c>
      <c r="E127" s="12">
        <v>263488</v>
      </c>
      <c r="F127" s="14">
        <v>9.58</v>
      </c>
      <c r="G127" s="12">
        <v>8698</v>
      </c>
      <c r="H127" s="15">
        <f t="shared" si="1"/>
        <v>1128</v>
      </c>
    </row>
    <row r="128" spans="1:8">
      <c r="A128" s="10">
        <v>45740</v>
      </c>
      <c r="B128" s="11" t="s">
        <v>7</v>
      </c>
      <c r="C128" s="12">
        <v>818</v>
      </c>
      <c r="D128" s="13">
        <v>253</v>
      </c>
      <c r="E128" s="12">
        <v>184911</v>
      </c>
      <c r="F128" s="14">
        <v>3.39</v>
      </c>
      <c r="G128" s="12">
        <v>10402</v>
      </c>
      <c r="H128" s="15">
        <f t="shared" si="1"/>
        <v>565</v>
      </c>
    </row>
    <row r="129" spans="1:8">
      <c r="A129" s="10">
        <v>45740</v>
      </c>
      <c r="B129" s="11" t="s">
        <v>8</v>
      </c>
      <c r="C129" s="12">
        <v>975</v>
      </c>
      <c r="D129" s="13">
        <v>162</v>
      </c>
      <c r="E129" s="12">
        <v>124497</v>
      </c>
      <c r="F129" s="14">
        <v>9.58</v>
      </c>
      <c r="G129" s="12">
        <v>26618</v>
      </c>
      <c r="H129" s="15">
        <f t="shared" si="1"/>
        <v>813</v>
      </c>
    </row>
    <row r="130" spans="1:8">
      <c r="A130" s="10">
        <v>45740</v>
      </c>
      <c r="B130" s="11" t="s">
        <v>9</v>
      </c>
      <c r="C130" s="12">
        <v>1398</v>
      </c>
      <c r="D130" s="13">
        <v>97</v>
      </c>
      <c r="E130" s="12">
        <v>397607</v>
      </c>
      <c r="F130" s="14">
        <v>5.09</v>
      </c>
      <c r="G130" s="12">
        <v>7975</v>
      </c>
      <c r="H130" s="15">
        <f t="shared" si="1"/>
        <v>1301</v>
      </c>
    </row>
    <row r="131" spans="1:8">
      <c r="A131" s="10">
        <v>45747</v>
      </c>
      <c r="B131" s="11" t="s">
        <v>7</v>
      </c>
      <c r="C131" s="12">
        <v>591</v>
      </c>
      <c r="D131" s="13">
        <v>155</v>
      </c>
      <c r="E131" s="12">
        <v>138521</v>
      </c>
      <c r="F131" s="14">
        <v>7.85</v>
      </c>
      <c r="G131" s="12">
        <v>19054</v>
      </c>
      <c r="H131" s="15">
        <f t="shared" ref="H131:H194" si="2">C131-D131</f>
        <v>436</v>
      </c>
    </row>
    <row r="132" spans="1:8">
      <c r="A132" s="10">
        <v>45747</v>
      </c>
      <c r="B132" s="11" t="s">
        <v>8</v>
      </c>
      <c r="C132" s="12">
        <v>1232</v>
      </c>
      <c r="D132" s="13">
        <v>254</v>
      </c>
      <c r="E132" s="12">
        <v>107718</v>
      </c>
      <c r="F132" s="14">
        <v>9.7100000000000009</v>
      </c>
      <c r="G132" s="12">
        <v>13740</v>
      </c>
      <c r="H132" s="15">
        <f t="shared" si="2"/>
        <v>978</v>
      </c>
    </row>
    <row r="133" spans="1:8">
      <c r="A133" s="10">
        <v>45747</v>
      </c>
      <c r="B133" s="11" t="s">
        <v>9</v>
      </c>
      <c r="C133" s="12">
        <v>1425</v>
      </c>
      <c r="D133" s="13">
        <v>58</v>
      </c>
      <c r="E133" s="12">
        <v>202234</v>
      </c>
      <c r="F133" s="14">
        <v>6.67</v>
      </c>
      <c r="G133" s="12">
        <v>18442</v>
      </c>
      <c r="H133" s="15">
        <f t="shared" si="2"/>
        <v>1367</v>
      </c>
    </row>
    <row r="134" spans="1:8">
      <c r="A134" s="10">
        <v>45754</v>
      </c>
      <c r="B134" s="11" t="s">
        <v>7</v>
      </c>
      <c r="C134" s="12">
        <v>1417</v>
      </c>
      <c r="D134" s="13">
        <v>80</v>
      </c>
      <c r="E134" s="12">
        <v>340987</v>
      </c>
      <c r="F134" s="14">
        <v>6.13</v>
      </c>
      <c r="G134" s="12">
        <v>10104</v>
      </c>
      <c r="H134" s="15">
        <f t="shared" si="2"/>
        <v>1337</v>
      </c>
    </row>
    <row r="135" spans="1:8">
      <c r="A135" s="10">
        <v>45754</v>
      </c>
      <c r="B135" s="11" t="s">
        <v>8</v>
      </c>
      <c r="C135" s="12">
        <v>1222</v>
      </c>
      <c r="D135" s="13">
        <v>208</v>
      </c>
      <c r="E135" s="12">
        <v>340098</v>
      </c>
      <c r="F135" s="14">
        <v>7.34</v>
      </c>
      <c r="G135" s="12">
        <v>21771</v>
      </c>
      <c r="H135" s="15">
        <f t="shared" si="2"/>
        <v>1014</v>
      </c>
    </row>
    <row r="136" spans="1:8">
      <c r="A136" s="10">
        <v>45754</v>
      </c>
      <c r="B136" s="11" t="s">
        <v>9</v>
      </c>
      <c r="C136" s="12">
        <v>1071</v>
      </c>
      <c r="D136" s="13">
        <v>131</v>
      </c>
      <c r="E136" s="12">
        <v>254727</v>
      </c>
      <c r="F136" s="14">
        <v>6.87</v>
      </c>
      <c r="G136" s="12">
        <v>22191</v>
      </c>
      <c r="H136" s="15">
        <f t="shared" si="2"/>
        <v>940</v>
      </c>
    </row>
    <row r="137" spans="1:8">
      <c r="A137" s="10">
        <v>45761</v>
      </c>
      <c r="B137" s="11" t="s">
        <v>7</v>
      </c>
      <c r="C137" s="12">
        <v>772</v>
      </c>
      <c r="D137" s="13">
        <v>82</v>
      </c>
      <c r="E137" s="12">
        <v>345659</v>
      </c>
      <c r="F137" s="14">
        <v>3.52</v>
      </c>
      <c r="G137" s="12">
        <v>27753</v>
      </c>
      <c r="H137" s="15">
        <f t="shared" si="2"/>
        <v>690</v>
      </c>
    </row>
    <row r="138" spans="1:8">
      <c r="A138" s="10">
        <v>45761</v>
      </c>
      <c r="B138" s="11" t="s">
        <v>8</v>
      </c>
      <c r="C138" s="12">
        <v>1472</v>
      </c>
      <c r="D138" s="13">
        <v>137</v>
      </c>
      <c r="E138" s="12">
        <v>213950</v>
      </c>
      <c r="F138" s="14">
        <v>6.96</v>
      </c>
      <c r="G138" s="12">
        <v>23736</v>
      </c>
      <c r="H138" s="15">
        <f t="shared" si="2"/>
        <v>1335</v>
      </c>
    </row>
    <row r="139" spans="1:8">
      <c r="A139" s="10">
        <v>45761</v>
      </c>
      <c r="B139" s="11" t="s">
        <v>9</v>
      </c>
      <c r="C139" s="12">
        <v>1472</v>
      </c>
      <c r="D139" s="13">
        <v>281</v>
      </c>
      <c r="E139" s="12">
        <v>258115</v>
      </c>
      <c r="F139" s="14">
        <v>7.23</v>
      </c>
      <c r="G139" s="12">
        <v>27393</v>
      </c>
      <c r="H139" s="15">
        <f t="shared" si="2"/>
        <v>1191</v>
      </c>
    </row>
    <row r="140" spans="1:8">
      <c r="A140" s="10">
        <v>45768</v>
      </c>
      <c r="B140" s="11" t="s">
        <v>7</v>
      </c>
      <c r="C140" s="12">
        <v>585</v>
      </c>
      <c r="D140" s="13">
        <v>232</v>
      </c>
      <c r="E140" s="12">
        <v>321258</v>
      </c>
      <c r="F140" s="14">
        <v>7.42</v>
      </c>
      <c r="G140" s="12">
        <v>10343</v>
      </c>
      <c r="H140" s="15">
        <f t="shared" si="2"/>
        <v>353</v>
      </c>
    </row>
    <row r="141" spans="1:8">
      <c r="A141" s="10">
        <v>45768</v>
      </c>
      <c r="B141" s="11" t="s">
        <v>8</v>
      </c>
      <c r="C141" s="12">
        <v>747</v>
      </c>
      <c r="D141" s="13">
        <v>261</v>
      </c>
      <c r="E141" s="12">
        <v>338650</v>
      </c>
      <c r="F141" s="14">
        <v>7.73</v>
      </c>
      <c r="G141" s="12">
        <v>25259</v>
      </c>
      <c r="H141" s="15">
        <f t="shared" si="2"/>
        <v>486</v>
      </c>
    </row>
    <row r="142" spans="1:8">
      <c r="A142" s="10">
        <v>45768</v>
      </c>
      <c r="B142" s="11" t="s">
        <v>9</v>
      </c>
      <c r="C142" s="12">
        <v>1113</v>
      </c>
      <c r="D142" s="13">
        <v>224</v>
      </c>
      <c r="E142" s="12">
        <v>272989</v>
      </c>
      <c r="F142" s="14">
        <v>5.13</v>
      </c>
      <c r="G142" s="12">
        <v>24827</v>
      </c>
      <c r="H142" s="15">
        <f t="shared" si="2"/>
        <v>889</v>
      </c>
    </row>
    <row r="143" spans="1:8">
      <c r="A143" s="10">
        <v>45775</v>
      </c>
      <c r="B143" s="11" t="s">
        <v>7</v>
      </c>
      <c r="C143" s="12">
        <v>1100</v>
      </c>
      <c r="D143" s="13">
        <v>117</v>
      </c>
      <c r="E143" s="12">
        <v>260204</v>
      </c>
      <c r="F143" s="14">
        <v>4.4000000000000004</v>
      </c>
      <c r="G143" s="12">
        <v>11908</v>
      </c>
      <c r="H143" s="15">
        <f t="shared" si="2"/>
        <v>983</v>
      </c>
    </row>
    <row r="144" spans="1:8">
      <c r="A144" s="10">
        <v>45775</v>
      </c>
      <c r="B144" s="11" t="s">
        <v>8</v>
      </c>
      <c r="C144" s="12">
        <v>751</v>
      </c>
      <c r="D144" s="13">
        <v>170</v>
      </c>
      <c r="E144" s="12">
        <v>283278</v>
      </c>
      <c r="F144" s="14">
        <v>3.49</v>
      </c>
      <c r="G144" s="12">
        <v>11005</v>
      </c>
      <c r="H144" s="15">
        <f t="shared" si="2"/>
        <v>581</v>
      </c>
    </row>
    <row r="145" spans="1:8">
      <c r="A145" s="10">
        <v>45775</v>
      </c>
      <c r="B145" s="11" t="s">
        <v>9</v>
      </c>
      <c r="C145" s="12">
        <v>864</v>
      </c>
      <c r="D145" s="13">
        <v>50</v>
      </c>
      <c r="E145" s="12">
        <v>277445</v>
      </c>
      <c r="F145" s="14">
        <v>3.57</v>
      </c>
      <c r="G145" s="12">
        <v>26333</v>
      </c>
      <c r="H145" s="15">
        <f t="shared" si="2"/>
        <v>814</v>
      </c>
    </row>
    <row r="146" spans="1:8">
      <c r="A146" s="10">
        <v>45782</v>
      </c>
      <c r="B146" s="11" t="s">
        <v>7</v>
      </c>
      <c r="C146" s="12">
        <v>1146</v>
      </c>
      <c r="D146" s="13">
        <v>227</v>
      </c>
      <c r="E146" s="12">
        <v>353781</v>
      </c>
      <c r="F146" s="14">
        <v>6.41</v>
      </c>
      <c r="G146" s="12">
        <v>5495</v>
      </c>
      <c r="H146" s="15">
        <f t="shared" si="2"/>
        <v>919</v>
      </c>
    </row>
    <row r="147" spans="1:8">
      <c r="A147" s="10">
        <v>45782</v>
      </c>
      <c r="B147" s="11" t="s">
        <v>8</v>
      </c>
      <c r="C147" s="12">
        <v>883</v>
      </c>
      <c r="D147" s="13">
        <v>207</v>
      </c>
      <c r="E147" s="12">
        <v>265019</v>
      </c>
      <c r="F147" s="14">
        <v>6.04</v>
      </c>
      <c r="G147" s="12">
        <v>15655</v>
      </c>
      <c r="H147" s="15">
        <f t="shared" si="2"/>
        <v>676</v>
      </c>
    </row>
    <row r="148" spans="1:8">
      <c r="A148" s="10">
        <v>45782</v>
      </c>
      <c r="B148" s="11" t="s">
        <v>9</v>
      </c>
      <c r="C148" s="12">
        <v>622</v>
      </c>
      <c r="D148" s="13">
        <v>163</v>
      </c>
      <c r="E148" s="12">
        <v>231925</v>
      </c>
      <c r="F148" s="14">
        <v>9.18</v>
      </c>
      <c r="G148" s="12">
        <v>13763</v>
      </c>
      <c r="H148" s="15">
        <f t="shared" si="2"/>
        <v>459</v>
      </c>
    </row>
    <row r="149" spans="1:8">
      <c r="A149" s="10">
        <v>45789</v>
      </c>
      <c r="B149" s="11" t="s">
        <v>7</v>
      </c>
      <c r="C149" s="12">
        <v>837</v>
      </c>
      <c r="D149" s="13">
        <v>261</v>
      </c>
      <c r="E149" s="12">
        <v>366149</v>
      </c>
      <c r="F149" s="14">
        <v>6.54</v>
      </c>
      <c r="G149" s="12">
        <v>26073</v>
      </c>
      <c r="H149" s="15">
        <f t="shared" si="2"/>
        <v>576</v>
      </c>
    </row>
    <row r="150" spans="1:8">
      <c r="A150" s="10">
        <v>45789</v>
      </c>
      <c r="B150" s="11" t="s">
        <v>8</v>
      </c>
      <c r="C150" s="12">
        <v>544</v>
      </c>
      <c r="D150" s="13">
        <v>97</v>
      </c>
      <c r="E150" s="12">
        <v>168375</v>
      </c>
      <c r="F150" s="14">
        <v>8.66</v>
      </c>
      <c r="G150" s="12">
        <v>12774</v>
      </c>
      <c r="H150" s="15">
        <f t="shared" si="2"/>
        <v>447</v>
      </c>
    </row>
    <row r="151" spans="1:8">
      <c r="A151" s="10">
        <v>45789</v>
      </c>
      <c r="B151" s="11" t="s">
        <v>9</v>
      </c>
      <c r="C151" s="12">
        <v>624</v>
      </c>
      <c r="D151" s="13">
        <v>247</v>
      </c>
      <c r="E151" s="12">
        <v>252763</v>
      </c>
      <c r="F151" s="14">
        <v>3.89</v>
      </c>
      <c r="G151" s="12">
        <v>19000</v>
      </c>
      <c r="H151" s="15">
        <f t="shared" si="2"/>
        <v>377</v>
      </c>
    </row>
    <row r="152" spans="1:8">
      <c r="A152" s="10">
        <v>45796</v>
      </c>
      <c r="B152" s="11" t="s">
        <v>7</v>
      </c>
      <c r="C152" s="12">
        <v>1073</v>
      </c>
      <c r="D152" s="13">
        <v>141</v>
      </c>
      <c r="E152" s="12">
        <v>118393</v>
      </c>
      <c r="F152" s="14">
        <v>7.95</v>
      </c>
      <c r="G152" s="12">
        <v>14051</v>
      </c>
      <c r="H152" s="15">
        <f t="shared" si="2"/>
        <v>932</v>
      </c>
    </row>
    <row r="153" spans="1:8">
      <c r="A153" s="10">
        <v>45796</v>
      </c>
      <c r="B153" s="11" t="s">
        <v>8</v>
      </c>
      <c r="C153" s="12">
        <v>1430</v>
      </c>
      <c r="D153" s="13">
        <v>74</v>
      </c>
      <c r="E153" s="12">
        <v>327012</v>
      </c>
      <c r="F153" s="14">
        <v>6.66</v>
      </c>
      <c r="G153" s="12">
        <v>27782</v>
      </c>
      <c r="H153" s="15">
        <f t="shared" si="2"/>
        <v>1356</v>
      </c>
    </row>
    <row r="154" spans="1:8">
      <c r="A154" s="10">
        <v>45796</v>
      </c>
      <c r="B154" s="11" t="s">
        <v>9</v>
      </c>
      <c r="C154" s="12">
        <v>1358</v>
      </c>
      <c r="D154" s="13">
        <v>77</v>
      </c>
      <c r="E154" s="12">
        <v>169688</v>
      </c>
      <c r="F154" s="14">
        <v>5.25</v>
      </c>
      <c r="G154" s="12">
        <v>7859</v>
      </c>
      <c r="H154" s="15">
        <f t="shared" si="2"/>
        <v>1281</v>
      </c>
    </row>
    <row r="155" spans="1:8">
      <c r="A155" s="10">
        <v>45803</v>
      </c>
      <c r="B155" s="11" t="s">
        <v>7</v>
      </c>
      <c r="C155" s="12">
        <v>1242</v>
      </c>
      <c r="D155" s="13">
        <v>201</v>
      </c>
      <c r="E155" s="12">
        <v>271935</v>
      </c>
      <c r="F155" s="14">
        <v>5.07</v>
      </c>
      <c r="G155" s="12">
        <v>15773</v>
      </c>
      <c r="H155" s="15">
        <f t="shared" si="2"/>
        <v>1041</v>
      </c>
    </row>
    <row r="156" spans="1:8">
      <c r="A156" s="10">
        <v>45803</v>
      </c>
      <c r="B156" s="11" t="s">
        <v>8</v>
      </c>
      <c r="C156" s="12">
        <v>1389</v>
      </c>
      <c r="D156" s="13">
        <v>205</v>
      </c>
      <c r="E156" s="12">
        <v>315981</v>
      </c>
      <c r="F156" s="14">
        <v>7.62</v>
      </c>
      <c r="G156" s="12">
        <v>20595</v>
      </c>
      <c r="H156" s="15">
        <f t="shared" si="2"/>
        <v>1184</v>
      </c>
    </row>
    <row r="157" spans="1:8">
      <c r="A157" s="10">
        <v>45803</v>
      </c>
      <c r="B157" s="11" t="s">
        <v>9</v>
      </c>
      <c r="C157" s="12">
        <v>826</v>
      </c>
      <c r="D157" s="13">
        <v>142</v>
      </c>
      <c r="E157" s="12">
        <v>341016</v>
      </c>
      <c r="F157" s="14">
        <v>7.44</v>
      </c>
      <c r="G157" s="12">
        <v>12031</v>
      </c>
      <c r="H157" s="15">
        <f t="shared" si="2"/>
        <v>684</v>
      </c>
    </row>
    <row r="158" spans="1:8">
      <c r="A158" s="10">
        <v>45810</v>
      </c>
      <c r="B158" s="11" t="s">
        <v>7</v>
      </c>
      <c r="C158" s="12">
        <v>618</v>
      </c>
      <c r="D158" s="13">
        <v>264</v>
      </c>
      <c r="E158" s="12">
        <v>285164</v>
      </c>
      <c r="F158" s="14">
        <v>4.8600000000000003</v>
      </c>
      <c r="G158" s="12">
        <v>15128</v>
      </c>
      <c r="H158" s="15">
        <f t="shared" si="2"/>
        <v>354</v>
      </c>
    </row>
    <row r="159" spans="1:8">
      <c r="A159" s="10">
        <v>45810</v>
      </c>
      <c r="B159" s="11" t="s">
        <v>8</v>
      </c>
      <c r="C159" s="12">
        <v>1419</v>
      </c>
      <c r="D159" s="13">
        <v>293</v>
      </c>
      <c r="E159" s="12">
        <v>116632</v>
      </c>
      <c r="F159" s="14">
        <v>6.93</v>
      </c>
      <c r="G159" s="12">
        <v>11826</v>
      </c>
      <c r="H159" s="15">
        <f t="shared" si="2"/>
        <v>1126</v>
      </c>
    </row>
    <row r="160" spans="1:8">
      <c r="A160" s="10">
        <v>45810</v>
      </c>
      <c r="B160" s="11" t="s">
        <v>9</v>
      </c>
      <c r="C160" s="12">
        <v>637</v>
      </c>
      <c r="D160" s="13">
        <v>68</v>
      </c>
      <c r="E160" s="12">
        <v>115694</v>
      </c>
      <c r="F160" s="14">
        <v>9.99</v>
      </c>
      <c r="G160" s="12">
        <v>12562</v>
      </c>
      <c r="H160" s="15">
        <f t="shared" si="2"/>
        <v>569</v>
      </c>
    </row>
    <row r="161" spans="1:8">
      <c r="A161" s="10">
        <v>45817</v>
      </c>
      <c r="B161" s="11" t="s">
        <v>7</v>
      </c>
      <c r="C161" s="12">
        <v>917</v>
      </c>
      <c r="D161" s="13">
        <v>187</v>
      </c>
      <c r="E161" s="12">
        <v>64444</v>
      </c>
      <c r="F161" s="14">
        <v>5.22</v>
      </c>
      <c r="G161" s="12">
        <v>13013</v>
      </c>
      <c r="H161" s="15">
        <f t="shared" si="2"/>
        <v>730</v>
      </c>
    </row>
    <row r="162" spans="1:8">
      <c r="A162" s="10">
        <v>45817</v>
      </c>
      <c r="B162" s="11" t="s">
        <v>8</v>
      </c>
      <c r="C162" s="12">
        <v>810</v>
      </c>
      <c r="D162" s="13">
        <v>232</v>
      </c>
      <c r="E162" s="12">
        <v>362559</v>
      </c>
      <c r="F162" s="14">
        <v>5.17</v>
      </c>
      <c r="G162" s="12">
        <v>12937</v>
      </c>
      <c r="H162" s="15">
        <f t="shared" si="2"/>
        <v>578</v>
      </c>
    </row>
    <row r="163" spans="1:8">
      <c r="A163" s="10">
        <v>45817</v>
      </c>
      <c r="B163" s="11" t="s">
        <v>9</v>
      </c>
      <c r="C163" s="12">
        <v>1183</v>
      </c>
      <c r="D163" s="13">
        <v>248</v>
      </c>
      <c r="E163" s="12">
        <v>226881</v>
      </c>
      <c r="F163" s="14">
        <v>5.17</v>
      </c>
      <c r="G163" s="12">
        <v>14534</v>
      </c>
      <c r="H163" s="15">
        <f t="shared" si="2"/>
        <v>935</v>
      </c>
    </row>
    <row r="164" spans="1:8">
      <c r="A164" s="10">
        <v>45824</v>
      </c>
      <c r="B164" s="11" t="s">
        <v>7</v>
      </c>
      <c r="C164" s="12">
        <v>765</v>
      </c>
      <c r="D164" s="13">
        <v>67</v>
      </c>
      <c r="E164" s="12">
        <v>283537</v>
      </c>
      <c r="F164" s="14">
        <v>6.18</v>
      </c>
      <c r="G164" s="12">
        <v>8182</v>
      </c>
      <c r="H164" s="15">
        <f t="shared" si="2"/>
        <v>698</v>
      </c>
    </row>
    <row r="165" spans="1:8">
      <c r="A165" s="10">
        <v>45824</v>
      </c>
      <c r="B165" s="11" t="s">
        <v>8</v>
      </c>
      <c r="C165" s="12">
        <v>540</v>
      </c>
      <c r="D165" s="13">
        <v>215</v>
      </c>
      <c r="E165" s="12">
        <v>62837</v>
      </c>
      <c r="F165" s="14">
        <v>5.3</v>
      </c>
      <c r="G165" s="12">
        <v>10615</v>
      </c>
      <c r="H165" s="15">
        <f t="shared" si="2"/>
        <v>325</v>
      </c>
    </row>
    <row r="166" spans="1:8">
      <c r="A166" s="10">
        <v>45824</v>
      </c>
      <c r="B166" s="11" t="s">
        <v>9</v>
      </c>
      <c r="C166" s="12">
        <v>1145</v>
      </c>
      <c r="D166" s="13">
        <v>151</v>
      </c>
      <c r="E166" s="12">
        <v>182759</v>
      </c>
      <c r="F166" s="14">
        <v>5.99</v>
      </c>
      <c r="G166" s="12">
        <v>20109</v>
      </c>
      <c r="H166" s="15">
        <f t="shared" si="2"/>
        <v>994</v>
      </c>
    </row>
    <row r="167" spans="1:8">
      <c r="A167" s="10">
        <v>45831</v>
      </c>
      <c r="B167" s="11" t="s">
        <v>7</v>
      </c>
      <c r="C167" s="12">
        <v>564</v>
      </c>
      <c r="D167" s="13">
        <v>244</v>
      </c>
      <c r="E167" s="12">
        <v>279405</v>
      </c>
      <c r="F167" s="14">
        <v>8.43</v>
      </c>
      <c r="G167" s="12">
        <v>26024</v>
      </c>
      <c r="H167" s="15">
        <f t="shared" si="2"/>
        <v>320</v>
      </c>
    </row>
    <row r="168" spans="1:8">
      <c r="A168" s="10">
        <v>45831</v>
      </c>
      <c r="B168" s="11" t="s">
        <v>8</v>
      </c>
      <c r="C168" s="12">
        <v>668</v>
      </c>
      <c r="D168" s="13">
        <v>124</v>
      </c>
      <c r="E168" s="12">
        <v>257485</v>
      </c>
      <c r="F168" s="14">
        <v>7.55</v>
      </c>
      <c r="G168" s="12">
        <v>26730</v>
      </c>
      <c r="H168" s="15">
        <f t="shared" si="2"/>
        <v>544</v>
      </c>
    </row>
    <row r="169" spans="1:8">
      <c r="A169" s="10">
        <v>45831</v>
      </c>
      <c r="B169" s="11" t="s">
        <v>9</v>
      </c>
      <c r="C169" s="12">
        <v>761</v>
      </c>
      <c r="D169" s="13">
        <v>241</v>
      </c>
      <c r="E169" s="12">
        <v>154977</v>
      </c>
      <c r="F169" s="14">
        <v>5.63</v>
      </c>
      <c r="G169" s="12">
        <v>10563</v>
      </c>
      <c r="H169" s="15">
        <f t="shared" si="2"/>
        <v>520</v>
      </c>
    </row>
    <row r="170" spans="1:8">
      <c r="A170" s="10">
        <v>45838</v>
      </c>
      <c r="B170" s="11" t="s">
        <v>7</v>
      </c>
      <c r="C170" s="12">
        <v>593</v>
      </c>
      <c r="D170" s="13">
        <v>108</v>
      </c>
      <c r="E170" s="12">
        <v>216500</v>
      </c>
      <c r="F170" s="14">
        <v>4.71</v>
      </c>
      <c r="G170" s="12">
        <v>27575</v>
      </c>
      <c r="H170" s="15">
        <f t="shared" si="2"/>
        <v>485</v>
      </c>
    </row>
    <row r="171" spans="1:8">
      <c r="A171" s="10">
        <v>45838</v>
      </c>
      <c r="B171" s="11" t="s">
        <v>8</v>
      </c>
      <c r="C171" s="12">
        <v>1349</v>
      </c>
      <c r="D171" s="13">
        <v>115</v>
      </c>
      <c r="E171" s="12">
        <v>102102</v>
      </c>
      <c r="F171" s="14">
        <v>5.28</v>
      </c>
      <c r="G171" s="12">
        <v>14479</v>
      </c>
      <c r="H171" s="15">
        <f t="shared" si="2"/>
        <v>1234</v>
      </c>
    </row>
    <row r="172" spans="1:8">
      <c r="A172" s="10">
        <v>45838</v>
      </c>
      <c r="B172" s="11" t="s">
        <v>9</v>
      </c>
      <c r="C172" s="12">
        <v>693</v>
      </c>
      <c r="D172" s="13">
        <v>97</v>
      </c>
      <c r="E172" s="12">
        <v>92025</v>
      </c>
      <c r="F172" s="14">
        <v>5.95</v>
      </c>
      <c r="G172" s="12">
        <v>15915</v>
      </c>
      <c r="H172" s="15">
        <f t="shared" si="2"/>
        <v>596</v>
      </c>
    </row>
    <row r="173" spans="1:8">
      <c r="A173" s="10">
        <v>45845</v>
      </c>
      <c r="B173" s="11" t="s">
        <v>7</v>
      </c>
      <c r="C173" s="12">
        <v>974</v>
      </c>
      <c r="D173" s="13">
        <v>143</v>
      </c>
      <c r="E173" s="12">
        <v>247965</v>
      </c>
      <c r="F173" s="14">
        <v>9.98</v>
      </c>
      <c r="G173" s="12">
        <v>12767</v>
      </c>
      <c r="H173" s="15">
        <f t="shared" si="2"/>
        <v>831</v>
      </c>
    </row>
    <row r="174" spans="1:8">
      <c r="A174" s="10">
        <v>45845</v>
      </c>
      <c r="B174" s="11" t="s">
        <v>8</v>
      </c>
      <c r="C174" s="12">
        <v>1155</v>
      </c>
      <c r="D174" s="13">
        <v>122</v>
      </c>
      <c r="E174" s="12">
        <v>387352</v>
      </c>
      <c r="F174" s="14">
        <v>9.93</v>
      </c>
      <c r="G174" s="12">
        <v>12170</v>
      </c>
      <c r="H174" s="15">
        <f t="shared" si="2"/>
        <v>1033</v>
      </c>
    </row>
    <row r="175" spans="1:8">
      <c r="A175" s="10">
        <v>45845</v>
      </c>
      <c r="B175" s="11" t="s">
        <v>9</v>
      </c>
      <c r="C175" s="12">
        <v>1051</v>
      </c>
      <c r="D175" s="13">
        <v>246</v>
      </c>
      <c r="E175" s="12">
        <v>253985</v>
      </c>
      <c r="F175" s="14">
        <v>9.08</v>
      </c>
      <c r="G175" s="12">
        <v>7245</v>
      </c>
      <c r="H175" s="15">
        <f t="shared" si="2"/>
        <v>805</v>
      </c>
    </row>
    <row r="176" spans="1:8">
      <c r="A176" s="10">
        <v>45852</v>
      </c>
      <c r="B176" s="11" t="s">
        <v>7</v>
      </c>
      <c r="C176" s="12">
        <v>1457</v>
      </c>
      <c r="D176" s="13">
        <v>183</v>
      </c>
      <c r="E176" s="12">
        <v>129640</v>
      </c>
      <c r="F176" s="14">
        <v>7.98</v>
      </c>
      <c r="G176" s="12">
        <v>12985</v>
      </c>
      <c r="H176" s="15">
        <f t="shared" si="2"/>
        <v>1274</v>
      </c>
    </row>
    <row r="177" spans="1:8">
      <c r="A177" s="10">
        <v>45852</v>
      </c>
      <c r="B177" s="11" t="s">
        <v>8</v>
      </c>
      <c r="C177" s="12">
        <v>670</v>
      </c>
      <c r="D177" s="13">
        <v>242</v>
      </c>
      <c r="E177" s="12">
        <v>281913</v>
      </c>
      <c r="F177" s="14">
        <v>9.6199999999999992</v>
      </c>
      <c r="G177" s="12">
        <v>16377</v>
      </c>
      <c r="H177" s="15">
        <f t="shared" si="2"/>
        <v>428</v>
      </c>
    </row>
    <row r="178" spans="1:8">
      <c r="A178" s="10">
        <v>45852</v>
      </c>
      <c r="B178" s="11" t="s">
        <v>9</v>
      </c>
      <c r="C178" s="12">
        <v>1111</v>
      </c>
      <c r="D178" s="13">
        <v>159</v>
      </c>
      <c r="E178" s="12">
        <v>360770</v>
      </c>
      <c r="F178" s="14">
        <v>8.7100000000000009</v>
      </c>
      <c r="G178" s="12">
        <v>11453</v>
      </c>
      <c r="H178" s="15">
        <f t="shared" si="2"/>
        <v>952</v>
      </c>
    </row>
    <row r="179" spans="1:8">
      <c r="A179" s="10">
        <v>45859</v>
      </c>
      <c r="B179" s="11" t="s">
        <v>7</v>
      </c>
      <c r="C179" s="12">
        <v>1197</v>
      </c>
      <c r="D179" s="13">
        <v>246</v>
      </c>
      <c r="E179" s="12">
        <v>127273</v>
      </c>
      <c r="F179" s="14">
        <v>6.69</v>
      </c>
      <c r="G179" s="12">
        <v>12323</v>
      </c>
      <c r="H179" s="15">
        <f t="shared" si="2"/>
        <v>951</v>
      </c>
    </row>
    <row r="180" spans="1:8">
      <c r="A180" s="10">
        <v>45859</v>
      </c>
      <c r="B180" s="11" t="s">
        <v>8</v>
      </c>
      <c r="C180" s="12">
        <v>754</v>
      </c>
      <c r="D180" s="13">
        <v>150</v>
      </c>
      <c r="E180" s="12">
        <v>189622</v>
      </c>
      <c r="F180" s="14">
        <v>4.25</v>
      </c>
      <c r="G180" s="12">
        <v>11911</v>
      </c>
      <c r="H180" s="15">
        <f t="shared" si="2"/>
        <v>604</v>
      </c>
    </row>
    <row r="181" spans="1:8">
      <c r="A181" s="10">
        <v>45859</v>
      </c>
      <c r="B181" s="11" t="s">
        <v>9</v>
      </c>
      <c r="C181" s="12">
        <v>1246</v>
      </c>
      <c r="D181" s="13">
        <v>107</v>
      </c>
      <c r="E181" s="12">
        <v>350949</v>
      </c>
      <c r="F181" s="14">
        <v>4.9800000000000004</v>
      </c>
      <c r="G181" s="12">
        <v>27809</v>
      </c>
      <c r="H181" s="15">
        <f t="shared" si="2"/>
        <v>1139</v>
      </c>
    </row>
    <row r="182" spans="1:8">
      <c r="A182" s="10">
        <v>45866</v>
      </c>
      <c r="B182" s="11" t="s">
        <v>7</v>
      </c>
      <c r="C182" s="12">
        <v>780</v>
      </c>
      <c r="D182" s="13">
        <v>213</v>
      </c>
      <c r="E182" s="12">
        <v>121431</v>
      </c>
      <c r="F182" s="14">
        <v>4.97</v>
      </c>
      <c r="G182" s="12">
        <v>21464</v>
      </c>
      <c r="H182" s="15">
        <f t="shared" si="2"/>
        <v>567</v>
      </c>
    </row>
    <row r="183" spans="1:8">
      <c r="A183" s="10">
        <v>45866</v>
      </c>
      <c r="B183" s="11" t="s">
        <v>8</v>
      </c>
      <c r="C183" s="12">
        <v>1425</v>
      </c>
      <c r="D183" s="13">
        <v>143</v>
      </c>
      <c r="E183" s="12">
        <v>116742</v>
      </c>
      <c r="F183" s="14">
        <v>3.71</v>
      </c>
      <c r="G183" s="12">
        <v>27126</v>
      </c>
      <c r="H183" s="15">
        <f t="shared" si="2"/>
        <v>1282</v>
      </c>
    </row>
    <row r="184" spans="1:8">
      <c r="A184" s="10">
        <v>45866</v>
      </c>
      <c r="B184" s="11" t="s">
        <v>9</v>
      </c>
      <c r="C184" s="12">
        <v>1490</v>
      </c>
      <c r="D184" s="13">
        <v>103</v>
      </c>
      <c r="E184" s="12">
        <v>81184</v>
      </c>
      <c r="F184" s="14">
        <v>7.79</v>
      </c>
      <c r="G184" s="12">
        <v>10681</v>
      </c>
      <c r="H184" s="15">
        <f t="shared" si="2"/>
        <v>1387</v>
      </c>
    </row>
    <row r="185" spans="1:8">
      <c r="A185" s="10">
        <v>45873</v>
      </c>
      <c r="B185" s="11" t="s">
        <v>7</v>
      </c>
      <c r="C185" s="12">
        <v>949</v>
      </c>
      <c r="D185" s="13">
        <v>282</v>
      </c>
      <c r="E185" s="12">
        <v>87126</v>
      </c>
      <c r="F185" s="14">
        <v>4.96</v>
      </c>
      <c r="G185" s="12">
        <v>5413</v>
      </c>
      <c r="H185" s="15">
        <f t="shared" si="2"/>
        <v>667</v>
      </c>
    </row>
    <row r="186" spans="1:8">
      <c r="A186" s="10">
        <v>45873</v>
      </c>
      <c r="B186" s="11" t="s">
        <v>8</v>
      </c>
      <c r="C186" s="12">
        <v>640</v>
      </c>
      <c r="D186" s="13">
        <v>141</v>
      </c>
      <c r="E186" s="12">
        <v>267546</v>
      </c>
      <c r="F186" s="14">
        <v>8.58</v>
      </c>
      <c r="G186" s="12">
        <v>25058</v>
      </c>
      <c r="H186" s="15">
        <f t="shared" si="2"/>
        <v>499</v>
      </c>
    </row>
    <row r="187" spans="1:8">
      <c r="A187" s="10">
        <v>45873</v>
      </c>
      <c r="B187" s="11" t="s">
        <v>9</v>
      </c>
      <c r="C187" s="12">
        <v>616</v>
      </c>
      <c r="D187" s="13">
        <v>93</v>
      </c>
      <c r="E187" s="12">
        <v>133082</v>
      </c>
      <c r="F187" s="14">
        <v>8.51</v>
      </c>
      <c r="G187" s="12">
        <v>18303</v>
      </c>
      <c r="H187" s="15">
        <f t="shared" si="2"/>
        <v>523</v>
      </c>
    </row>
    <row r="188" spans="1:8">
      <c r="A188" s="10">
        <v>45880</v>
      </c>
      <c r="B188" s="11" t="s">
        <v>7</v>
      </c>
      <c r="C188" s="12">
        <v>1080</v>
      </c>
      <c r="D188" s="13">
        <v>184</v>
      </c>
      <c r="E188" s="12">
        <v>340557</v>
      </c>
      <c r="F188" s="14">
        <v>5.41</v>
      </c>
      <c r="G188" s="12">
        <v>5526</v>
      </c>
      <c r="H188" s="15">
        <f t="shared" si="2"/>
        <v>896</v>
      </c>
    </row>
    <row r="189" spans="1:8">
      <c r="A189" s="10">
        <v>45880</v>
      </c>
      <c r="B189" s="11" t="s">
        <v>8</v>
      </c>
      <c r="C189" s="12">
        <v>938</v>
      </c>
      <c r="D189" s="13">
        <v>236</v>
      </c>
      <c r="E189" s="12">
        <v>116472</v>
      </c>
      <c r="F189" s="14">
        <v>8.7200000000000006</v>
      </c>
      <c r="G189" s="12">
        <v>17460</v>
      </c>
      <c r="H189" s="15">
        <f t="shared" si="2"/>
        <v>702</v>
      </c>
    </row>
    <row r="190" spans="1:8">
      <c r="A190" s="10">
        <v>45880</v>
      </c>
      <c r="B190" s="11" t="s">
        <v>9</v>
      </c>
      <c r="C190" s="12">
        <v>1007</v>
      </c>
      <c r="D190" s="13">
        <v>258</v>
      </c>
      <c r="E190" s="12">
        <v>113412</v>
      </c>
      <c r="F190" s="14">
        <v>7.71</v>
      </c>
      <c r="G190" s="12">
        <v>14475</v>
      </c>
      <c r="H190" s="15">
        <f t="shared" si="2"/>
        <v>749</v>
      </c>
    </row>
    <row r="191" spans="1:8">
      <c r="A191" s="10">
        <v>45887</v>
      </c>
      <c r="B191" s="11" t="s">
        <v>7</v>
      </c>
      <c r="C191" s="12">
        <v>541</v>
      </c>
      <c r="D191" s="13">
        <v>208</v>
      </c>
      <c r="E191" s="12">
        <v>157547</v>
      </c>
      <c r="F191" s="14">
        <v>8.35</v>
      </c>
      <c r="G191" s="12">
        <v>20162</v>
      </c>
      <c r="H191" s="15">
        <f t="shared" si="2"/>
        <v>333</v>
      </c>
    </row>
    <row r="192" spans="1:8">
      <c r="A192" s="10">
        <v>45887</v>
      </c>
      <c r="B192" s="11" t="s">
        <v>8</v>
      </c>
      <c r="C192" s="12">
        <v>745</v>
      </c>
      <c r="D192" s="13">
        <v>98</v>
      </c>
      <c r="E192" s="12">
        <v>354816</v>
      </c>
      <c r="F192" s="14">
        <v>4.03</v>
      </c>
      <c r="G192" s="12">
        <v>17103</v>
      </c>
      <c r="H192" s="15">
        <f t="shared" si="2"/>
        <v>647</v>
      </c>
    </row>
    <row r="193" spans="1:8">
      <c r="A193" s="10">
        <v>45887</v>
      </c>
      <c r="B193" s="11" t="s">
        <v>9</v>
      </c>
      <c r="C193" s="12">
        <v>936</v>
      </c>
      <c r="D193" s="13">
        <v>97</v>
      </c>
      <c r="E193" s="12">
        <v>151799</v>
      </c>
      <c r="F193" s="14">
        <v>9.3699999999999992</v>
      </c>
      <c r="G193" s="12">
        <v>15461</v>
      </c>
      <c r="H193" s="15">
        <f t="shared" si="2"/>
        <v>839</v>
      </c>
    </row>
    <row r="194" spans="1:8">
      <c r="A194" s="10">
        <v>45894</v>
      </c>
      <c r="B194" s="11" t="s">
        <v>7</v>
      </c>
      <c r="C194" s="12">
        <v>1183</v>
      </c>
      <c r="D194" s="13">
        <v>223</v>
      </c>
      <c r="E194" s="12">
        <v>143811</v>
      </c>
      <c r="F194" s="14">
        <v>6.07</v>
      </c>
      <c r="G194" s="12">
        <v>22103</v>
      </c>
      <c r="H194" s="15">
        <f t="shared" si="2"/>
        <v>960</v>
      </c>
    </row>
    <row r="195" spans="1:8">
      <c r="A195" s="10">
        <v>45894</v>
      </c>
      <c r="B195" s="11" t="s">
        <v>8</v>
      </c>
      <c r="C195" s="12">
        <v>1413</v>
      </c>
      <c r="D195" s="13">
        <v>245</v>
      </c>
      <c r="E195" s="12">
        <v>296450</v>
      </c>
      <c r="F195" s="14">
        <v>6.52</v>
      </c>
      <c r="G195" s="12">
        <v>11625</v>
      </c>
      <c r="H195" s="15">
        <f t="shared" ref="H195:H201" si="3">C195-D195</f>
        <v>1168</v>
      </c>
    </row>
    <row r="196" spans="1:8">
      <c r="A196" s="10">
        <v>45894</v>
      </c>
      <c r="B196" s="11" t="s">
        <v>9</v>
      </c>
      <c r="C196" s="12">
        <v>791</v>
      </c>
      <c r="D196" s="13">
        <v>273</v>
      </c>
      <c r="E196" s="12">
        <v>144049</v>
      </c>
      <c r="F196" s="14">
        <v>3.08</v>
      </c>
      <c r="G196" s="12">
        <v>5281</v>
      </c>
      <c r="H196" s="15">
        <f t="shared" si="3"/>
        <v>518</v>
      </c>
    </row>
    <row r="197" spans="1:8">
      <c r="A197" s="10">
        <v>45901</v>
      </c>
      <c r="B197" s="11" t="s">
        <v>7</v>
      </c>
      <c r="C197" s="12">
        <v>1052</v>
      </c>
      <c r="D197" s="13">
        <v>180</v>
      </c>
      <c r="E197" s="12">
        <v>272534</v>
      </c>
      <c r="F197" s="14">
        <v>5.34</v>
      </c>
      <c r="G197" s="12">
        <v>13424</v>
      </c>
      <c r="H197" s="15">
        <f t="shared" si="3"/>
        <v>872</v>
      </c>
    </row>
    <row r="198" spans="1:8">
      <c r="A198" s="10">
        <v>45901</v>
      </c>
      <c r="B198" s="11" t="s">
        <v>8</v>
      </c>
      <c r="C198" s="12">
        <v>572</v>
      </c>
      <c r="D198" s="13">
        <v>270</v>
      </c>
      <c r="E198" s="12">
        <v>82265</v>
      </c>
      <c r="F198" s="14">
        <v>3.65</v>
      </c>
      <c r="G198" s="12">
        <v>13140</v>
      </c>
      <c r="H198" s="15">
        <f t="shared" si="3"/>
        <v>302</v>
      </c>
    </row>
    <row r="199" spans="1:8">
      <c r="A199" s="10">
        <v>45901</v>
      </c>
      <c r="B199" s="11" t="s">
        <v>9</v>
      </c>
      <c r="C199" s="12">
        <v>503</v>
      </c>
      <c r="D199" s="13">
        <v>253</v>
      </c>
      <c r="E199" s="12">
        <v>313562</v>
      </c>
      <c r="F199" s="14">
        <v>4.18</v>
      </c>
      <c r="G199" s="12">
        <v>19538</v>
      </c>
      <c r="H199" s="15">
        <f t="shared" si="3"/>
        <v>250</v>
      </c>
    </row>
    <row r="200" spans="1:8">
      <c r="A200" s="10">
        <v>45908</v>
      </c>
      <c r="B200" s="11" t="s">
        <v>7</v>
      </c>
      <c r="C200" s="12">
        <v>1017</v>
      </c>
      <c r="D200" s="13">
        <v>197</v>
      </c>
      <c r="E200" s="12">
        <v>89918</v>
      </c>
      <c r="F200" s="14">
        <v>3.91</v>
      </c>
      <c r="G200" s="12">
        <v>7881</v>
      </c>
      <c r="H200" s="15">
        <f t="shared" si="3"/>
        <v>820</v>
      </c>
    </row>
    <row r="201" spans="1:8">
      <c r="A201" s="10">
        <v>45908</v>
      </c>
      <c r="B201" s="11" t="s">
        <v>8</v>
      </c>
      <c r="C201" s="12">
        <v>860</v>
      </c>
      <c r="D201" s="13">
        <v>244</v>
      </c>
      <c r="E201" s="12">
        <v>348686</v>
      </c>
      <c r="F201" s="14">
        <v>5.12</v>
      </c>
      <c r="G201" s="12">
        <v>11418</v>
      </c>
      <c r="H201" s="15">
        <f t="shared" si="3"/>
        <v>616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7220-367B-44D7-9135-948166F6B21A}">
  <dimension ref="A1:L201"/>
  <sheetViews>
    <sheetView topLeftCell="E1" workbookViewId="0">
      <selection activeCell="L12" sqref="L12"/>
    </sheetView>
  </sheetViews>
  <sheetFormatPr defaultRowHeight="14.4"/>
  <cols>
    <col min="1" max="1" width="17.88671875" bestFit="1" customWidth="1"/>
    <col min="10" max="10" width="12.5546875" bestFit="1" customWidth="1"/>
    <col min="11" max="11" width="24" bestFit="1" customWidth="1"/>
    <col min="12" max="12" width="15.44140625" bestFit="1" customWidth="1"/>
  </cols>
  <sheetData>
    <row r="1" spans="1:12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3" t="s">
        <v>12</v>
      </c>
    </row>
    <row r="2" spans="1:12">
      <c r="A2" s="10">
        <v>45446</v>
      </c>
      <c r="B2" s="11" t="s">
        <v>7</v>
      </c>
      <c r="C2" s="12">
        <v>1402</v>
      </c>
      <c r="D2" s="13">
        <v>68</v>
      </c>
      <c r="E2" s="12">
        <v>124562</v>
      </c>
      <c r="F2" s="14">
        <v>9.92</v>
      </c>
      <c r="G2" s="12">
        <v>23125</v>
      </c>
      <c r="H2" s="15">
        <f>C2-D2</f>
        <v>1334</v>
      </c>
      <c r="J2" s="6" t="s">
        <v>10</v>
      </c>
      <c r="K2" t="s">
        <v>15</v>
      </c>
      <c r="L2" s="9" t="s">
        <v>14</v>
      </c>
    </row>
    <row r="3" spans="1:12">
      <c r="A3" s="10">
        <v>45446</v>
      </c>
      <c r="B3" s="11" t="s">
        <v>8</v>
      </c>
      <c r="C3" s="12">
        <v>995</v>
      </c>
      <c r="D3" s="13">
        <v>86</v>
      </c>
      <c r="E3" s="12">
        <v>227958</v>
      </c>
      <c r="F3" s="14">
        <v>8.0500000000000007</v>
      </c>
      <c r="G3" s="12">
        <v>22788</v>
      </c>
      <c r="H3" s="15">
        <f t="shared" ref="H3:H66" si="0">C3-D3</f>
        <v>909</v>
      </c>
      <c r="J3" s="7">
        <v>45446</v>
      </c>
      <c r="K3" s="8">
        <v>240920.66666666666</v>
      </c>
      <c r="L3" s="16">
        <f>AVERAGE(K3:K69)</f>
        <v>232443.32835820894</v>
      </c>
    </row>
    <row r="4" spans="1:12">
      <c r="A4" s="10">
        <v>45446</v>
      </c>
      <c r="B4" s="11" t="s">
        <v>9</v>
      </c>
      <c r="C4" s="12">
        <v>1472</v>
      </c>
      <c r="D4" s="13">
        <v>296</v>
      </c>
      <c r="E4" s="12">
        <v>370242</v>
      </c>
      <c r="F4" s="14">
        <v>7.72</v>
      </c>
      <c r="G4" s="12">
        <v>7810</v>
      </c>
      <c r="H4" s="15">
        <f t="shared" si="0"/>
        <v>1176</v>
      </c>
      <c r="J4" s="7">
        <v>45453</v>
      </c>
      <c r="K4" s="8">
        <v>270999</v>
      </c>
      <c r="L4" s="16">
        <f t="shared" ref="L4:L67" si="1">AVERAGE(K4:K70)</f>
        <v>232317.7816169154</v>
      </c>
    </row>
    <row r="5" spans="1:12">
      <c r="A5" s="10">
        <v>45453</v>
      </c>
      <c r="B5" s="11" t="s">
        <v>7</v>
      </c>
      <c r="C5" s="12">
        <v>1018</v>
      </c>
      <c r="D5" s="13">
        <v>90</v>
      </c>
      <c r="E5" s="12">
        <v>92474</v>
      </c>
      <c r="F5" s="14">
        <v>9.4</v>
      </c>
      <c r="G5" s="12">
        <v>11966</v>
      </c>
      <c r="H5" s="15">
        <f t="shared" si="0"/>
        <v>928</v>
      </c>
      <c r="J5" s="7">
        <v>45460</v>
      </c>
      <c r="K5" s="8">
        <v>197420</v>
      </c>
      <c r="L5" s="16">
        <f t="shared" si="1"/>
        <v>231731.70255050503</v>
      </c>
    </row>
    <row r="6" spans="1:12">
      <c r="A6" s="10">
        <v>45453</v>
      </c>
      <c r="B6" s="11" t="s">
        <v>8</v>
      </c>
      <c r="C6" s="12">
        <v>1461</v>
      </c>
      <c r="D6" s="13">
        <v>64</v>
      </c>
      <c r="E6" s="12">
        <v>328902</v>
      </c>
      <c r="F6" s="14">
        <v>9.02</v>
      </c>
      <c r="G6" s="12">
        <v>26298</v>
      </c>
      <c r="H6" s="15">
        <f t="shared" si="0"/>
        <v>1397</v>
      </c>
      <c r="J6" s="7">
        <v>45467</v>
      </c>
      <c r="K6" s="8">
        <v>113940.33333333333</v>
      </c>
      <c r="L6" s="16">
        <f t="shared" si="1"/>
        <v>232259.57489743587</v>
      </c>
    </row>
    <row r="7" spans="1:12">
      <c r="A7" s="10">
        <v>45453</v>
      </c>
      <c r="B7" s="11" t="s">
        <v>9</v>
      </c>
      <c r="C7" s="12">
        <v>545</v>
      </c>
      <c r="D7" s="13">
        <v>93</v>
      </c>
      <c r="E7" s="12">
        <v>391621</v>
      </c>
      <c r="F7" s="14">
        <v>9.9600000000000009</v>
      </c>
      <c r="G7" s="12">
        <v>22029</v>
      </c>
      <c r="H7" s="15">
        <f t="shared" si="0"/>
        <v>452</v>
      </c>
      <c r="J7" s="7">
        <v>45474</v>
      </c>
      <c r="K7" s="8">
        <v>232413.33333333334</v>
      </c>
      <c r="L7" s="16">
        <f t="shared" si="1"/>
        <v>234108.313046875</v>
      </c>
    </row>
    <row r="8" spans="1:12">
      <c r="A8" s="10">
        <v>45460</v>
      </c>
      <c r="B8" s="11" t="s">
        <v>7</v>
      </c>
      <c r="C8" s="12">
        <v>881</v>
      </c>
      <c r="D8" s="13">
        <v>291</v>
      </c>
      <c r="E8" s="12">
        <v>95885</v>
      </c>
      <c r="F8" s="14">
        <v>5.29</v>
      </c>
      <c r="G8" s="12">
        <v>12391</v>
      </c>
      <c r="H8" s="15">
        <f t="shared" si="0"/>
        <v>590</v>
      </c>
      <c r="J8" s="7">
        <v>45481</v>
      </c>
      <c r="K8" s="8">
        <v>203372.66666666666</v>
      </c>
      <c r="L8" s="16">
        <f t="shared" si="1"/>
        <v>234135.21748677248</v>
      </c>
    </row>
    <row r="9" spans="1:12">
      <c r="A9" s="10">
        <v>45460</v>
      </c>
      <c r="B9" s="11" t="s">
        <v>8</v>
      </c>
      <c r="C9" s="12">
        <v>1414</v>
      </c>
      <c r="D9" s="13">
        <v>131</v>
      </c>
      <c r="E9" s="12">
        <v>245947</v>
      </c>
      <c r="F9" s="14">
        <v>8.3000000000000007</v>
      </c>
      <c r="G9" s="12">
        <v>14477</v>
      </c>
      <c r="H9" s="15">
        <f t="shared" si="0"/>
        <v>1283</v>
      </c>
      <c r="J9" s="7">
        <v>45488</v>
      </c>
      <c r="K9" s="8">
        <v>213438.33333333334</v>
      </c>
      <c r="L9" s="16">
        <f t="shared" si="1"/>
        <v>234631.38766129033</v>
      </c>
    </row>
    <row r="10" spans="1:12">
      <c r="A10" s="10">
        <v>45460</v>
      </c>
      <c r="B10" s="11" t="s">
        <v>9</v>
      </c>
      <c r="C10" s="12">
        <v>1472</v>
      </c>
      <c r="D10" s="13">
        <v>170</v>
      </c>
      <c r="E10" s="12">
        <v>250428</v>
      </c>
      <c r="F10" s="14">
        <v>4.66</v>
      </c>
      <c r="G10" s="12">
        <v>25040</v>
      </c>
      <c r="H10" s="15">
        <f t="shared" si="0"/>
        <v>1302</v>
      </c>
      <c r="J10" s="7">
        <v>45495</v>
      </c>
      <c r="K10" s="8">
        <v>283692.33333333331</v>
      </c>
      <c r="L10" s="16">
        <f t="shared" si="1"/>
        <v>234978.81478142075</v>
      </c>
    </row>
    <row r="11" spans="1:12">
      <c r="A11" s="10">
        <v>45467</v>
      </c>
      <c r="B11" s="11" t="s">
        <v>7</v>
      </c>
      <c r="C11" s="12">
        <v>809</v>
      </c>
      <c r="D11" s="13">
        <v>197</v>
      </c>
      <c r="E11" s="12">
        <v>87186</v>
      </c>
      <c r="F11" s="14">
        <v>9.48</v>
      </c>
      <c r="G11" s="12">
        <v>22619</v>
      </c>
      <c r="H11" s="15">
        <f t="shared" si="0"/>
        <v>612</v>
      </c>
      <c r="J11" s="7">
        <v>45502</v>
      </c>
      <c r="K11" s="8">
        <v>269319.66666666669</v>
      </c>
      <c r="L11" s="16">
        <f t="shared" si="1"/>
        <v>234166.92280555554</v>
      </c>
    </row>
    <row r="12" spans="1:12">
      <c r="A12" s="10">
        <v>45467</v>
      </c>
      <c r="B12" s="11" t="s">
        <v>8</v>
      </c>
      <c r="C12" s="12">
        <v>1371</v>
      </c>
      <c r="D12" s="13">
        <v>250</v>
      </c>
      <c r="E12" s="12">
        <v>128620</v>
      </c>
      <c r="F12" s="14">
        <v>7.11</v>
      </c>
      <c r="G12" s="12">
        <v>12399</v>
      </c>
      <c r="H12" s="15">
        <f t="shared" si="0"/>
        <v>1121</v>
      </c>
      <c r="J12" s="7">
        <v>45509</v>
      </c>
      <c r="K12" s="8">
        <v>217163.33333333334</v>
      </c>
      <c r="L12" s="16">
        <f t="shared" si="1"/>
        <v>233571.11358757061</v>
      </c>
    </row>
    <row r="13" spans="1:12">
      <c r="A13" s="10">
        <v>45467</v>
      </c>
      <c r="B13" s="11" t="s">
        <v>9</v>
      </c>
      <c r="C13" s="12">
        <v>844</v>
      </c>
      <c r="D13" s="13">
        <v>144</v>
      </c>
      <c r="E13" s="12">
        <v>126015</v>
      </c>
      <c r="F13" s="14">
        <v>9.65</v>
      </c>
      <c r="G13" s="12">
        <v>22456</v>
      </c>
      <c r="H13" s="15">
        <f t="shared" si="0"/>
        <v>700</v>
      </c>
      <c r="J13" s="7">
        <v>45516</v>
      </c>
      <c r="K13" s="8">
        <v>153650.33333333334</v>
      </c>
      <c r="L13" s="16">
        <f t="shared" si="1"/>
        <v>233854.00635057472</v>
      </c>
    </row>
    <row r="14" spans="1:12">
      <c r="A14" s="10">
        <v>45474</v>
      </c>
      <c r="B14" s="11" t="s">
        <v>7</v>
      </c>
      <c r="C14" s="12">
        <v>786</v>
      </c>
      <c r="D14" s="13">
        <v>72</v>
      </c>
      <c r="E14" s="12">
        <v>178615</v>
      </c>
      <c r="F14" s="14">
        <v>5.43</v>
      </c>
      <c r="G14" s="12">
        <v>19328</v>
      </c>
      <c r="H14" s="15">
        <f t="shared" si="0"/>
        <v>714</v>
      </c>
      <c r="J14" s="7">
        <v>45523</v>
      </c>
      <c r="K14" s="8">
        <v>193339.33333333334</v>
      </c>
      <c r="L14" s="16">
        <f t="shared" si="1"/>
        <v>235261.08833333335</v>
      </c>
    </row>
    <row r="15" spans="1:12">
      <c r="A15" s="10">
        <v>45474</v>
      </c>
      <c r="B15" s="11" t="s">
        <v>8</v>
      </c>
      <c r="C15" s="12">
        <v>845</v>
      </c>
      <c r="D15" s="13">
        <v>250</v>
      </c>
      <c r="E15" s="12">
        <v>218228</v>
      </c>
      <c r="F15" s="14">
        <v>4.5199999999999996</v>
      </c>
      <c r="G15" s="12">
        <v>21107</v>
      </c>
      <c r="H15" s="15">
        <f t="shared" si="0"/>
        <v>595</v>
      </c>
      <c r="J15" s="7">
        <v>45530</v>
      </c>
      <c r="K15" s="8">
        <v>233959</v>
      </c>
      <c r="L15" s="16">
        <f t="shared" si="1"/>
        <v>236009.69110119049</v>
      </c>
    </row>
    <row r="16" spans="1:12">
      <c r="A16" s="10">
        <v>45474</v>
      </c>
      <c r="B16" s="11" t="s">
        <v>9</v>
      </c>
      <c r="C16" s="12">
        <v>1218</v>
      </c>
      <c r="D16" s="13">
        <v>101</v>
      </c>
      <c r="E16" s="12">
        <v>300397</v>
      </c>
      <c r="F16" s="14">
        <v>4.33</v>
      </c>
      <c r="G16" s="12">
        <v>12277</v>
      </c>
      <c r="H16" s="15">
        <f t="shared" si="0"/>
        <v>1117</v>
      </c>
      <c r="J16" s="7">
        <v>45537</v>
      </c>
      <c r="K16" s="8">
        <v>350777.33333333331</v>
      </c>
      <c r="L16" s="16">
        <f t="shared" si="1"/>
        <v>236046.97639393937</v>
      </c>
    </row>
    <row r="17" spans="1:12">
      <c r="A17" s="10">
        <v>45481</v>
      </c>
      <c r="B17" s="11" t="s">
        <v>7</v>
      </c>
      <c r="C17" s="12">
        <v>797</v>
      </c>
      <c r="D17" s="13">
        <v>130</v>
      </c>
      <c r="E17" s="12">
        <v>340121</v>
      </c>
      <c r="F17" s="14">
        <v>8.52</v>
      </c>
      <c r="G17" s="12">
        <v>11684</v>
      </c>
      <c r="H17" s="15">
        <f t="shared" si="0"/>
        <v>667</v>
      </c>
      <c r="J17" s="7">
        <v>45544</v>
      </c>
      <c r="K17" s="8">
        <v>316146.33333333331</v>
      </c>
      <c r="L17" s="16">
        <f t="shared" si="1"/>
        <v>233922.34015432099</v>
      </c>
    </row>
    <row r="18" spans="1:12">
      <c r="A18" s="10">
        <v>45481</v>
      </c>
      <c r="B18" s="11" t="s">
        <v>8</v>
      </c>
      <c r="C18" s="12">
        <v>1471</v>
      </c>
      <c r="D18" s="13">
        <v>100</v>
      </c>
      <c r="E18" s="12">
        <v>76866</v>
      </c>
      <c r="F18" s="14">
        <v>8.5500000000000007</v>
      </c>
      <c r="G18" s="12">
        <v>14412</v>
      </c>
      <c r="H18" s="15">
        <f t="shared" si="0"/>
        <v>1371</v>
      </c>
      <c r="J18" s="7">
        <v>45551</v>
      </c>
      <c r="K18" s="8">
        <v>265682.66666666669</v>
      </c>
      <c r="L18" s="16">
        <f t="shared" si="1"/>
        <v>232370.94405660377</v>
      </c>
    </row>
    <row r="19" spans="1:12">
      <c r="A19" s="10">
        <v>45481</v>
      </c>
      <c r="B19" s="11" t="s">
        <v>9</v>
      </c>
      <c r="C19" s="12">
        <v>1253</v>
      </c>
      <c r="D19" s="13">
        <v>136</v>
      </c>
      <c r="E19" s="12">
        <v>193131</v>
      </c>
      <c r="F19" s="14">
        <v>7.99</v>
      </c>
      <c r="G19" s="12">
        <v>15924</v>
      </c>
      <c r="H19" s="15">
        <f t="shared" si="0"/>
        <v>1117</v>
      </c>
      <c r="J19" s="7">
        <v>45558</v>
      </c>
      <c r="K19" s="8">
        <v>262652.33333333331</v>
      </c>
      <c r="L19" s="16">
        <f t="shared" si="1"/>
        <v>231730.33400641027</v>
      </c>
    </row>
    <row r="20" spans="1:12">
      <c r="A20" s="10">
        <v>45488</v>
      </c>
      <c r="B20" s="11" t="s">
        <v>7</v>
      </c>
      <c r="C20" s="12">
        <v>616</v>
      </c>
      <c r="D20" s="13">
        <v>257</v>
      </c>
      <c r="E20" s="12">
        <v>169665</v>
      </c>
      <c r="F20" s="14">
        <v>6.31</v>
      </c>
      <c r="G20" s="12">
        <v>12390</v>
      </c>
      <c r="H20" s="15">
        <f t="shared" si="0"/>
        <v>359</v>
      </c>
      <c r="J20" s="7">
        <v>45565</v>
      </c>
      <c r="K20" s="8">
        <v>304438</v>
      </c>
      <c r="L20" s="16">
        <f t="shared" si="1"/>
        <v>231124.02029411765</v>
      </c>
    </row>
    <row r="21" spans="1:12">
      <c r="A21" s="10">
        <v>45488</v>
      </c>
      <c r="B21" s="11" t="s">
        <v>8</v>
      </c>
      <c r="C21" s="12">
        <v>1308</v>
      </c>
      <c r="D21" s="13">
        <v>210</v>
      </c>
      <c r="E21" s="12">
        <v>263729</v>
      </c>
      <c r="F21" s="14">
        <v>8.5299999999999994</v>
      </c>
      <c r="G21" s="12">
        <v>25742</v>
      </c>
      <c r="H21" s="15">
        <f t="shared" si="0"/>
        <v>1098</v>
      </c>
      <c r="J21" s="7">
        <v>45572</v>
      </c>
      <c r="K21" s="8">
        <v>220926</v>
      </c>
      <c r="L21" s="16">
        <f t="shared" si="1"/>
        <v>229657.74069999999</v>
      </c>
    </row>
    <row r="22" spans="1:12">
      <c r="A22" s="10">
        <v>45488</v>
      </c>
      <c r="B22" s="11" t="s">
        <v>9</v>
      </c>
      <c r="C22" s="12">
        <v>981</v>
      </c>
      <c r="D22" s="13">
        <v>69</v>
      </c>
      <c r="E22" s="12">
        <v>206921</v>
      </c>
      <c r="F22" s="14">
        <v>8.42</v>
      </c>
      <c r="G22" s="12">
        <v>10495</v>
      </c>
      <c r="H22" s="15">
        <f t="shared" si="0"/>
        <v>912</v>
      </c>
      <c r="J22" s="7">
        <v>45579</v>
      </c>
      <c r="K22" s="8">
        <v>268519.33333333331</v>
      </c>
      <c r="L22" s="16">
        <f t="shared" si="1"/>
        <v>229835.93948979591</v>
      </c>
    </row>
    <row r="23" spans="1:12">
      <c r="A23" s="10">
        <v>45495</v>
      </c>
      <c r="B23" s="11" t="s">
        <v>7</v>
      </c>
      <c r="C23" s="12">
        <v>866</v>
      </c>
      <c r="D23" s="13">
        <v>74</v>
      </c>
      <c r="E23" s="12">
        <v>204121</v>
      </c>
      <c r="F23" s="14">
        <v>9.34</v>
      </c>
      <c r="G23" s="12">
        <v>7797</v>
      </c>
      <c r="H23" s="15">
        <f t="shared" si="0"/>
        <v>792</v>
      </c>
      <c r="J23" s="7">
        <v>45586</v>
      </c>
      <c r="K23" s="8">
        <v>125975.33333333333</v>
      </c>
      <c r="L23" s="16">
        <f t="shared" si="1"/>
        <v>229030.03545138892</v>
      </c>
    </row>
    <row r="24" spans="1:12">
      <c r="A24" s="10">
        <v>45495</v>
      </c>
      <c r="B24" s="11" t="s">
        <v>8</v>
      </c>
      <c r="C24" s="12">
        <v>547</v>
      </c>
      <c r="D24" s="13">
        <v>183</v>
      </c>
      <c r="E24" s="12">
        <v>266350</v>
      </c>
      <c r="F24" s="14">
        <v>5.65</v>
      </c>
      <c r="G24" s="12">
        <v>15595</v>
      </c>
      <c r="H24" s="15">
        <f t="shared" si="0"/>
        <v>364</v>
      </c>
      <c r="J24" s="7">
        <v>45593</v>
      </c>
      <c r="K24" s="8">
        <v>250027.66666666666</v>
      </c>
      <c r="L24" s="16">
        <f t="shared" si="1"/>
        <v>231222.68868794327</v>
      </c>
    </row>
    <row r="25" spans="1:12">
      <c r="A25" s="10">
        <v>45495</v>
      </c>
      <c r="B25" s="11" t="s">
        <v>9</v>
      </c>
      <c r="C25" s="12">
        <v>1241</v>
      </c>
      <c r="D25" s="13">
        <v>116</v>
      </c>
      <c r="E25" s="12">
        <v>380606</v>
      </c>
      <c r="F25" s="14">
        <v>4.2</v>
      </c>
      <c r="G25" s="12">
        <v>24617</v>
      </c>
      <c r="H25" s="15">
        <f t="shared" si="0"/>
        <v>1125</v>
      </c>
      <c r="J25" s="7">
        <v>45600</v>
      </c>
      <c r="K25" s="8">
        <v>266132.66666666669</v>
      </c>
      <c r="L25" s="16">
        <f t="shared" si="1"/>
        <v>230813.8848188406</v>
      </c>
    </row>
    <row r="26" spans="1:12">
      <c r="A26" s="10">
        <v>45502</v>
      </c>
      <c r="B26" s="11" t="s">
        <v>7</v>
      </c>
      <c r="C26" s="12">
        <v>973</v>
      </c>
      <c r="D26" s="13">
        <v>104</v>
      </c>
      <c r="E26" s="12">
        <v>376358</v>
      </c>
      <c r="F26" s="14">
        <v>3.87</v>
      </c>
      <c r="G26" s="12">
        <v>9847</v>
      </c>
      <c r="H26" s="15">
        <f t="shared" si="0"/>
        <v>869</v>
      </c>
      <c r="J26" s="7">
        <v>45607</v>
      </c>
      <c r="K26" s="8">
        <v>245409.66666666666</v>
      </c>
      <c r="L26" s="16">
        <f t="shared" si="1"/>
        <v>230029.02300000002</v>
      </c>
    </row>
    <row r="27" spans="1:12">
      <c r="A27" s="10">
        <v>45502</v>
      </c>
      <c r="B27" s="11" t="s">
        <v>8</v>
      </c>
      <c r="C27" s="12">
        <v>611</v>
      </c>
      <c r="D27" s="13">
        <v>197</v>
      </c>
      <c r="E27" s="12">
        <v>79423</v>
      </c>
      <c r="F27" s="14">
        <v>5.82</v>
      </c>
      <c r="G27" s="12">
        <v>13644</v>
      </c>
      <c r="H27" s="15">
        <f t="shared" si="0"/>
        <v>414</v>
      </c>
      <c r="J27" s="7">
        <v>45614</v>
      </c>
      <c r="K27" s="8">
        <v>231601.66666666666</v>
      </c>
      <c r="L27" s="16">
        <f t="shared" si="1"/>
        <v>229679.46291666667</v>
      </c>
    </row>
    <row r="28" spans="1:12">
      <c r="A28" s="10">
        <v>45502</v>
      </c>
      <c r="B28" s="11" t="s">
        <v>9</v>
      </c>
      <c r="C28" s="12">
        <v>983</v>
      </c>
      <c r="D28" s="13">
        <v>134</v>
      </c>
      <c r="E28" s="12">
        <v>352178</v>
      </c>
      <c r="F28" s="14">
        <v>3.55</v>
      </c>
      <c r="G28" s="12">
        <v>11421</v>
      </c>
      <c r="H28" s="15">
        <f t="shared" si="0"/>
        <v>849</v>
      </c>
      <c r="J28" s="7">
        <v>45621</v>
      </c>
      <c r="K28" s="8">
        <v>236932</v>
      </c>
      <c r="L28" s="16">
        <f t="shared" si="1"/>
        <v>229634.76050387599</v>
      </c>
    </row>
    <row r="29" spans="1:12">
      <c r="A29" s="10">
        <v>45509</v>
      </c>
      <c r="B29" s="11" t="s">
        <v>7</v>
      </c>
      <c r="C29" s="12">
        <v>1449</v>
      </c>
      <c r="D29" s="13">
        <v>96</v>
      </c>
      <c r="E29" s="12">
        <v>200636</v>
      </c>
      <c r="F29" s="14">
        <v>9.92</v>
      </c>
      <c r="G29" s="12">
        <v>15613</v>
      </c>
      <c r="H29" s="15">
        <f t="shared" si="0"/>
        <v>1353</v>
      </c>
      <c r="J29" s="7">
        <v>45628</v>
      </c>
      <c r="K29" s="8">
        <v>211352.33333333334</v>
      </c>
      <c r="L29" s="16">
        <f t="shared" si="1"/>
        <v>229461.01670634924</v>
      </c>
    </row>
    <row r="30" spans="1:12">
      <c r="A30" s="10">
        <v>45509</v>
      </c>
      <c r="B30" s="11" t="s">
        <v>8</v>
      </c>
      <c r="C30" s="12">
        <v>752</v>
      </c>
      <c r="D30" s="13">
        <v>170</v>
      </c>
      <c r="E30" s="12">
        <v>132756</v>
      </c>
      <c r="F30" s="14">
        <v>8.17</v>
      </c>
      <c r="G30" s="12">
        <v>23900</v>
      </c>
      <c r="H30" s="15">
        <f t="shared" si="0"/>
        <v>582</v>
      </c>
      <c r="J30" s="7">
        <v>45635</v>
      </c>
      <c r="K30" s="8">
        <v>190102.33333333334</v>
      </c>
      <c r="L30" s="16">
        <f t="shared" si="1"/>
        <v>229902.69191056912</v>
      </c>
    </row>
    <row r="31" spans="1:12">
      <c r="A31" s="10">
        <v>45509</v>
      </c>
      <c r="B31" s="11" t="s">
        <v>9</v>
      </c>
      <c r="C31" s="12">
        <v>937</v>
      </c>
      <c r="D31" s="13">
        <v>179</v>
      </c>
      <c r="E31" s="12">
        <v>318098</v>
      </c>
      <c r="F31" s="14">
        <v>5.3</v>
      </c>
      <c r="G31" s="12">
        <v>5836</v>
      </c>
      <c r="H31" s="15">
        <f t="shared" si="0"/>
        <v>758</v>
      </c>
      <c r="J31" s="7">
        <v>45642</v>
      </c>
      <c r="K31" s="8">
        <v>160800.66666666666</v>
      </c>
      <c r="L31" s="16">
        <f t="shared" si="1"/>
        <v>230897.70087500001</v>
      </c>
    </row>
    <row r="32" spans="1:12">
      <c r="A32" s="10">
        <v>45516</v>
      </c>
      <c r="B32" s="11" t="s">
        <v>7</v>
      </c>
      <c r="C32" s="12">
        <v>1060</v>
      </c>
      <c r="D32" s="13">
        <v>83</v>
      </c>
      <c r="E32" s="12">
        <v>68724</v>
      </c>
      <c r="F32" s="14">
        <v>5.98</v>
      </c>
      <c r="G32" s="12">
        <v>5624</v>
      </c>
      <c r="H32" s="15">
        <f t="shared" si="0"/>
        <v>977</v>
      </c>
      <c r="J32" s="7">
        <v>45649</v>
      </c>
      <c r="K32" s="8">
        <v>206753.66666666666</v>
      </c>
      <c r="L32" s="16">
        <f t="shared" si="1"/>
        <v>232695.06072649569</v>
      </c>
    </row>
    <row r="33" spans="1:12">
      <c r="A33" s="10">
        <v>45516</v>
      </c>
      <c r="B33" s="11" t="s">
        <v>8</v>
      </c>
      <c r="C33" s="12">
        <v>1456</v>
      </c>
      <c r="D33" s="13">
        <v>265</v>
      </c>
      <c r="E33" s="12">
        <v>115505</v>
      </c>
      <c r="F33" s="14">
        <v>7.49</v>
      </c>
      <c r="G33" s="12">
        <v>10311</v>
      </c>
      <c r="H33" s="15">
        <f t="shared" si="0"/>
        <v>1191</v>
      </c>
      <c r="J33" s="7">
        <v>45656</v>
      </c>
      <c r="K33" s="8">
        <v>245714.66666666666</v>
      </c>
      <c r="L33" s="16">
        <f t="shared" si="1"/>
        <v>233377.72899122807</v>
      </c>
    </row>
    <row r="34" spans="1:12">
      <c r="A34" s="10">
        <v>45516</v>
      </c>
      <c r="B34" s="11" t="s">
        <v>9</v>
      </c>
      <c r="C34" s="12">
        <v>1109</v>
      </c>
      <c r="D34" s="13">
        <v>205</v>
      </c>
      <c r="E34" s="12">
        <v>276722</v>
      </c>
      <c r="F34" s="14">
        <v>9.3800000000000008</v>
      </c>
      <c r="G34" s="12">
        <v>8274</v>
      </c>
      <c r="H34" s="15">
        <f t="shared" si="0"/>
        <v>904</v>
      </c>
      <c r="J34" s="7">
        <v>45663</v>
      </c>
      <c r="K34" s="8">
        <v>184530.33333333334</v>
      </c>
      <c r="L34" s="16">
        <f t="shared" si="1"/>
        <v>233044.29824324325</v>
      </c>
    </row>
    <row r="35" spans="1:12">
      <c r="A35" s="10">
        <v>45523</v>
      </c>
      <c r="B35" s="11" t="s">
        <v>7</v>
      </c>
      <c r="C35" s="12">
        <v>1002</v>
      </c>
      <c r="D35" s="13">
        <v>93</v>
      </c>
      <c r="E35" s="12">
        <v>353538</v>
      </c>
      <c r="F35" s="14">
        <v>5.84</v>
      </c>
      <c r="G35" s="12">
        <v>6031</v>
      </c>
      <c r="H35" s="15">
        <f t="shared" si="0"/>
        <v>909</v>
      </c>
      <c r="J35" s="7">
        <v>45670</v>
      </c>
      <c r="K35" s="8">
        <v>285425.66666666669</v>
      </c>
      <c r="L35" s="16">
        <f t="shared" si="1"/>
        <v>234391.9083796296</v>
      </c>
    </row>
    <row r="36" spans="1:12">
      <c r="A36" s="10">
        <v>45523</v>
      </c>
      <c r="B36" s="11" t="s">
        <v>8</v>
      </c>
      <c r="C36" s="12">
        <v>571</v>
      </c>
      <c r="D36" s="13">
        <v>189</v>
      </c>
      <c r="E36" s="12">
        <v>61445</v>
      </c>
      <c r="F36" s="14">
        <v>5.41</v>
      </c>
      <c r="G36" s="12">
        <v>27829</v>
      </c>
      <c r="H36" s="15">
        <f t="shared" si="0"/>
        <v>382</v>
      </c>
      <c r="J36" s="7">
        <v>45677</v>
      </c>
      <c r="K36" s="8">
        <v>311070.33333333331</v>
      </c>
      <c r="L36" s="16">
        <f t="shared" si="1"/>
        <v>232933.80100000004</v>
      </c>
    </row>
    <row r="37" spans="1:12">
      <c r="A37" s="10">
        <v>45523</v>
      </c>
      <c r="B37" s="11" t="s">
        <v>9</v>
      </c>
      <c r="C37" s="12">
        <v>1240</v>
      </c>
      <c r="D37" s="13">
        <v>231</v>
      </c>
      <c r="E37" s="12">
        <v>165035</v>
      </c>
      <c r="F37" s="14">
        <v>6.05</v>
      </c>
      <c r="G37" s="12">
        <v>18267</v>
      </c>
      <c r="H37" s="15">
        <f t="shared" si="0"/>
        <v>1009</v>
      </c>
      <c r="J37" s="7">
        <v>45684</v>
      </c>
      <c r="K37" s="8">
        <v>243701.66666666666</v>
      </c>
      <c r="L37" s="16">
        <f t="shared" si="1"/>
        <v>230635.66769607845</v>
      </c>
    </row>
    <row r="38" spans="1:12">
      <c r="A38" s="10">
        <v>45530</v>
      </c>
      <c r="B38" s="11" t="s">
        <v>7</v>
      </c>
      <c r="C38" s="12">
        <v>1154</v>
      </c>
      <c r="D38" s="13">
        <v>132</v>
      </c>
      <c r="E38" s="12">
        <v>194595</v>
      </c>
      <c r="F38" s="14">
        <v>7.54</v>
      </c>
      <c r="G38" s="12">
        <v>26624</v>
      </c>
      <c r="H38" s="15">
        <f t="shared" si="0"/>
        <v>1022</v>
      </c>
      <c r="J38" s="7">
        <v>45691</v>
      </c>
      <c r="K38" s="8">
        <v>250567</v>
      </c>
      <c r="L38" s="16">
        <f t="shared" si="1"/>
        <v>230239.72833333336</v>
      </c>
    </row>
    <row r="39" spans="1:12">
      <c r="A39" s="10">
        <v>45530</v>
      </c>
      <c r="B39" s="11" t="s">
        <v>8</v>
      </c>
      <c r="C39" s="12">
        <v>537</v>
      </c>
      <c r="D39" s="13">
        <v>275</v>
      </c>
      <c r="E39" s="12">
        <v>236238</v>
      </c>
      <c r="F39" s="14">
        <v>5.87</v>
      </c>
      <c r="G39" s="12">
        <v>26644</v>
      </c>
      <c r="H39" s="15">
        <f t="shared" si="0"/>
        <v>262</v>
      </c>
      <c r="J39" s="7">
        <v>45698</v>
      </c>
      <c r="K39" s="8">
        <v>187913.33333333334</v>
      </c>
      <c r="L39" s="16">
        <f t="shared" si="1"/>
        <v>229604.50109375</v>
      </c>
    </row>
    <row r="40" spans="1:12">
      <c r="A40" s="10">
        <v>45530</v>
      </c>
      <c r="B40" s="11" t="s">
        <v>9</v>
      </c>
      <c r="C40" s="12">
        <v>1456</v>
      </c>
      <c r="D40" s="13">
        <v>290</v>
      </c>
      <c r="E40" s="12">
        <v>271044</v>
      </c>
      <c r="F40" s="14">
        <v>7.17</v>
      </c>
      <c r="G40" s="12">
        <v>13051</v>
      </c>
      <c r="H40" s="15">
        <f t="shared" si="0"/>
        <v>1166</v>
      </c>
      <c r="J40" s="7">
        <v>45705</v>
      </c>
      <c r="K40" s="8">
        <v>237547</v>
      </c>
      <c r="L40" s="16">
        <f t="shared" si="1"/>
        <v>230949.37747311831</v>
      </c>
    </row>
    <row r="41" spans="1:12">
      <c r="A41" s="10">
        <v>45537</v>
      </c>
      <c r="B41" s="11" t="s">
        <v>7</v>
      </c>
      <c r="C41" s="12">
        <v>721</v>
      </c>
      <c r="D41" s="13">
        <v>206</v>
      </c>
      <c r="E41" s="12">
        <v>334887</v>
      </c>
      <c r="F41" s="14">
        <v>6.05</v>
      </c>
      <c r="G41" s="12">
        <v>14217</v>
      </c>
      <c r="H41" s="15">
        <f t="shared" si="0"/>
        <v>515</v>
      </c>
      <c r="J41" s="7">
        <v>45712</v>
      </c>
      <c r="K41" s="8">
        <v>294644</v>
      </c>
      <c r="L41" s="16">
        <f t="shared" si="1"/>
        <v>230729.45672222224</v>
      </c>
    </row>
    <row r="42" spans="1:12">
      <c r="A42" s="10">
        <v>45537</v>
      </c>
      <c r="B42" s="11" t="s">
        <v>8</v>
      </c>
      <c r="C42" s="12">
        <v>1098</v>
      </c>
      <c r="D42" s="13">
        <v>142</v>
      </c>
      <c r="E42" s="12">
        <v>359150</v>
      </c>
      <c r="F42" s="14">
        <v>7.51</v>
      </c>
      <c r="G42" s="12">
        <v>16385</v>
      </c>
      <c r="H42" s="15">
        <f t="shared" si="0"/>
        <v>956</v>
      </c>
      <c r="J42" s="7">
        <v>45719</v>
      </c>
      <c r="K42" s="8">
        <v>172835</v>
      </c>
      <c r="L42" s="16">
        <f t="shared" si="1"/>
        <v>228525.506954023</v>
      </c>
    </row>
    <row r="43" spans="1:12">
      <c r="A43" s="10">
        <v>45537</v>
      </c>
      <c r="B43" s="11" t="s">
        <v>9</v>
      </c>
      <c r="C43" s="12">
        <v>1096</v>
      </c>
      <c r="D43" s="13">
        <v>65</v>
      </c>
      <c r="E43" s="12">
        <v>358295</v>
      </c>
      <c r="F43" s="14">
        <v>7.66</v>
      </c>
      <c r="G43" s="12">
        <v>24548</v>
      </c>
      <c r="H43" s="15">
        <f t="shared" si="0"/>
        <v>1031</v>
      </c>
      <c r="J43" s="7">
        <v>45726</v>
      </c>
      <c r="K43" s="8">
        <v>276944.66666666669</v>
      </c>
      <c r="L43" s="16">
        <f t="shared" si="1"/>
        <v>230514.45363095237</v>
      </c>
    </row>
    <row r="44" spans="1:12">
      <c r="A44" s="10">
        <v>45544</v>
      </c>
      <c r="B44" s="11" t="s">
        <v>7</v>
      </c>
      <c r="C44" s="12">
        <v>912</v>
      </c>
      <c r="D44" s="13">
        <v>275</v>
      </c>
      <c r="E44" s="12">
        <v>368454</v>
      </c>
      <c r="F44" s="14">
        <v>6.03</v>
      </c>
      <c r="G44" s="12">
        <v>9195</v>
      </c>
      <c r="H44" s="15">
        <f t="shared" si="0"/>
        <v>637</v>
      </c>
      <c r="J44" s="7">
        <v>45733</v>
      </c>
      <c r="K44" s="8">
        <v>301735.66666666669</v>
      </c>
      <c r="L44" s="16">
        <f t="shared" si="1"/>
        <v>228794.81611111111</v>
      </c>
    </row>
    <row r="45" spans="1:12">
      <c r="A45" s="10">
        <v>45544</v>
      </c>
      <c r="B45" s="11" t="s">
        <v>8</v>
      </c>
      <c r="C45" s="12">
        <v>1430</v>
      </c>
      <c r="D45" s="13">
        <v>162</v>
      </c>
      <c r="E45" s="12">
        <v>269082</v>
      </c>
      <c r="F45" s="14">
        <v>3.4</v>
      </c>
      <c r="G45" s="12">
        <v>18071</v>
      </c>
      <c r="H45" s="15">
        <f t="shared" si="0"/>
        <v>1268</v>
      </c>
      <c r="J45" s="7">
        <v>45740</v>
      </c>
      <c r="K45" s="8">
        <v>235671.66666666666</v>
      </c>
      <c r="L45" s="16">
        <f t="shared" si="1"/>
        <v>225989.39878205128</v>
      </c>
    </row>
    <row r="46" spans="1:12">
      <c r="A46" s="10">
        <v>45544</v>
      </c>
      <c r="B46" s="11" t="s">
        <v>9</v>
      </c>
      <c r="C46" s="12">
        <v>854</v>
      </c>
      <c r="D46" s="13">
        <v>129</v>
      </c>
      <c r="E46" s="12">
        <v>310903</v>
      </c>
      <c r="F46" s="14">
        <v>7.83</v>
      </c>
      <c r="G46" s="12">
        <v>16875</v>
      </c>
      <c r="H46" s="15">
        <f t="shared" si="0"/>
        <v>725</v>
      </c>
      <c r="J46" s="7">
        <v>45747</v>
      </c>
      <c r="K46" s="8">
        <v>149491</v>
      </c>
      <c r="L46" s="16">
        <f t="shared" si="1"/>
        <v>225602.10806666664</v>
      </c>
    </row>
    <row r="47" spans="1:12">
      <c r="A47" s="10">
        <v>45551</v>
      </c>
      <c r="B47" s="11" t="s">
        <v>7</v>
      </c>
      <c r="C47" s="12">
        <v>681</v>
      </c>
      <c r="D47" s="13">
        <v>210</v>
      </c>
      <c r="E47" s="12">
        <v>248581</v>
      </c>
      <c r="F47" s="14">
        <v>8.76</v>
      </c>
      <c r="G47" s="12">
        <v>9567</v>
      </c>
      <c r="H47" s="15">
        <f t="shared" si="0"/>
        <v>471</v>
      </c>
      <c r="J47" s="7">
        <v>45754</v>
      </c>
      <c r="K47" s="8">
        <v>311937.33333333331</v>
      </c>
      <c r="L47" s="16">
        <f t="shared" si="1"/>
        <v>228773.40423611109</v>
      </c>
    </row>
    <row r="48" spans="1:12">
      <c r="A48" s="10">
        <v>45551</v>
      </c>
      <c r="B48" s="11" t="s">
        <v>8</v>
      </c>
      <c r="C48" s="12">
        <v>1373</v>
      </c>
      <c r="D48" s="13">
        <v>82</v>
      </c>
      <c r="E48" s="12">
        <v>371015</v>
      </c>
      <c r="F48" s="14">
        <v>9.52</v>
      </c>
      <c r="G48" s="12">
        <v>20306</v>
      </c>
      <c r="H48" s="15">
        <f t="shared" si="0"/>
        <v>1291</v>
      </c>
      <c r="J48" s="7">
        <v>45761</v>
      </c>
      <c r="K48" s="8">
        <v>272574.66666666669</v>
      </c>
      <c r="L48" s="16">
        <f t="shared" si="1"/>
        <v>225157.58123188405</v>
      </c>
    </row>
    <row r="49" spans="1:12">
      <c r="A49" s="10">
        <v>45551</v>
      </c>
      <c r="B49" s="11" t="s">
        <v>9</v>
      </c>
      <c r="C49" s="12">
        <v>685</v>
      </c>
      <c r="D49" s="13">
        <v>285</v>
      </c>
      <c r="E49" s="12">
        <v>177452</v>
      </c>
      <c r="F49" s="14">
        <v>3.36</v>
      </c>
      <c r="G49" s="12">
        <v>21134</v>
      </c>
      <c r="H49" s="15">
        <f t="shared" si="0"/>
        <v>400</v>
      </c>
      <c r="J49" s="7">
        <v>45768</v>
      </c>
      <c r="K49" s="8">
        <v>310965.66666666669</v>
      </c>
      <c r="L49" s="16">
        <f t="shared" si="1"/>
        <v>223002.25916666666</v>
      </c>
    </row>
    <row r="50" spans="1:12">
      <c r="A50" s="10">
        <v>45558</v>
      </c>
      <c r="B50" s="11" t="s">
        <v>7</v>
      </c>
      <c r="C50" s="12">
        <v>1290</v>
      </c>
      <c r="D50" s="13">
        <v>177</v>
      </c>
      <c r="E50" s="12">
        <v>80745</v>
      </c>
      <c r="F50" s="14">
        <v>9.2200000000000006</v>
      </c>
      <c r="G50" s="12">
        <v>26872</v>
      </c>
      <c r="H50" s="15">
        <f t="shared" si="0"/>
        <v>1113</v>
      </c>
      <c r="J50" s="7">
        <v>45775</v>
      </c>
      <c r="K50" s="8">
        <v>273642.33333333331</v>
      </c>
      <c r="L50" s="16">
        <f t="shared" si="1"/>
        <v>218813.52547619049</v>
      </c>
    </row>
    <row r="51" spans="1:12">
      <c r="A51" s="10">
        <v>45558</v>
      </c>
      <c r="B51" s="11" t="s">
        <v>8</v>
      </c>
      <c r="C51" s="12">
        <v>1437</v>
      </c>
      <c r="D51" s="13">
        <v>239</v>
      </c>
      <c r="E51" s="12">
        <v>362441</v>
      </c>
      <c r="F51" s="14">
        <v>5.57</v>
      </c>
      <c r="G51" s="12">
        <v>10253</v>
      </c>
      <c r="H51" s="15">
        <f t="shared" si="0"/>
        <v>1198</v>
      </c>
      <c r="J51" s="7">
        <v>45782</v>
      </c>
      <c r="K51" s="8">
        <v>283575</v>
      </c>
      <c r="L51" s="16">
        <f t="shared" si="1"/>
        <v>216072.08508333337</v>
      </c>
    </row>
    <row r="52" spans="1:12">
      <c r="A52" s="10">
        <v>45558</v>
      </c>
      <c r="B52" s="11" t="s">
        <v>9</v>
      </c>
      <c r="C52" s="12">
        <v>769</v>
      </c>
      <c r="D52" s="13">
        <v>295</v>
      </c>
      <c r="E52" s="12">
        <v>344771</v>
      </c>
      <c r="F52" s="14">
        <v>8.06</v>
      </c>
      <c r="G52" s="12">
        <v>23963</v>
      </c>
      <c r="H52" s="15">
        <f t="shared" si="0"/>
        <v>474</v>
      </c>
      <c r="J52" s="7">
        <v>45789</v>
      </c>
      <c r="K52" s="8">
        <v>262429</v>
      </c>
      <c r="L52" s="16">
        <f t="shared" si="1"/>
        <v>212519.30008771931</v>
      </c>
    </row>
    <row r="53" spans="1:12">
      <c r="A53" s="10">
        <v>45565</v>
      </c>
      <c r="B53" s="11" t="s">
        <v>7</v>
      </c>
      <c r="C53" s="12">
        <v>1416</v>
      </c>
      <c r="D53" s="13">
        <v>284</v>
      </c>
      <c r="E53" s="12">
        <v>374952</v>
      </c>
      <c r="F53" s="14">
        <v>3.45</v>
      </c>
      <c r="G53" s="12">
        <v>11335</v>
      </c>
      <c r="H53" s="15">
        <f t="shared" si="0"/>
        <v>1132</v>
      </c>
      <c r="J53" s="7">
        <v>45796</v>
      </c>
      <c r="K53" s="8">
        <v>205031</v>
      </c>
      <c r="L53" s="16">
        <f t="shared" si="1"/>
        <v>209746.53898148151</v>
      </c>
    </row>
    <row r="54" spans="1:12">
      <c r="A54" s="10">
        <v>45565</v>
      </c>
      <c r="B54" s="11" t="s">
        <v>8</v>
      </c>
      <c r="C54" s="12">
        <v>998</v>
      </c>
      <c r="D54" s="13">
        <v>154</v>
      </c>
      <c r="E54" s="12">
        <v>179781</v>
      </c>
      <c r="F54" s="14">
        <v>9.58</v>
      </c>
      <c r="G54" s="12">
        <v>12115</v>
      </c>
      <c r="H54" s="15">
        <f t="shared" si="0"/>
        <v>844</v>
      </c>
      <c r="J54" s="7">
        <v>45803</v>
      </c>
      <c r="K54" s="8">
        <v>309644</v>
      </c>
      <c r="L54" s="16">
        <f t="shared" si="1"/>
        <v>210023.923627451</v>
      </c>
    </row>
    <row r="55" spans="1:12">
      <c r="A55" s="10">
        <v>45565</v>
      </c>
      <c r="B55" s="11" t="s">
        <v>9</v>
      </c>
      <c r="C55" s="12">
        <v>1421</v>
      </c>
      <c r="D55" s="13">
        <v>246</v>
      </c>
      <c r="E55" s="12">
        <v>358581</v>
      </c>
      <c r="F55" s="14">
        <v>8.8800000000000008</v>
      </c>
      <c r="G55" s="12">
        <v>24358</v>
      </c>
      <c r="H55" s="15">
        <f t="shared" si="0"/>
        <v>1175</v>
      </c>
      <c r="J55" s="7">
        <v>45810</v>
      </c>
      <c r="K55" s="8">
        <v>172496.66666666666</v>
      </c>
      <c r="L55" s="16">
        <f t="shared" si="1"/>
        <v>203797.66885416667</v>
      </c>
    </row>
    <row r="56" spans="1:12">
      <c r="A56" s="10">
        <v>45572</v>
      </c>
      <c r="B56" s="11" t="s">
        <v>7</v>
      </c>
      <c r="C56" s="12">
        <v>764</v>
      </c>
      <c r="D56" s="13">
        <v>205</v>
      </c>
      <c r="E56" s="12">
        <v>319294</v>
      </c>
      <c r="F56" s="14">
        <v>6.23</v>
      </c>
      <c r="G56" s="12">
        <v>12181</v>
      </c>
      <c r="H56" s="15">
        <f t="shared" si="0"/>
        <v>559</v>
      </c>
      <c r="J56" s="7">
        <v>45817</v>
      </c>
      <c r="K56" s="8">
        <v>217961.33333333334</v>
      </c>
      <c r="L56" s="16">
        <f t="shared" si="1"/>
        <v>205884.40233333333</v>
      </c>
    </row>
    <row r="57" spans="1:12">
      <c r="A57" s="10">
        <v>45572</v>
      </c>
      <c r="B57" s="11" t="s">
        <v>8</v>
      </c>
      <c r="C57" s="12">
        <v>678</v>
      </c>
      <c r="D57" s="13">
        <v>124</v>
      </c>
      <c r="E57" s="12">
        <v>192022</v>
      </c>
      <c r="F57" s="14">
        <v>8.4499999999999993</v>
      </c>
      <c r="G57" s="12">
        <v>17729</v>
      </c>
      <c r="H57" s="15">
        <f t="shared" si="0"/>
        <v>554</v>
      </c>
      <c r="J57" s="7">
        <v>45824</v>
      </c>
      <c r="K57" s="8">
        <v>176377.66666666666</v>
      </c>
      <c r="L57" s="16">
        <f t="shared" si="1"/>
        <v>205021.7644047619</v>
      </c>
    </row>
    <row r="58" spans="1:12">
      <c r="A58" s="10">
        <v>45572</v>
      </c>
      <c r="B58" s="11" t="s">
        <v>9</v>
      </c>
      <c r="C58" s="12">
        <v>1328</v>
      </c>
      <c r="D58" s="13">
        <v>103</v>
      </c>
      <c r="E58" s="12">
        <v>151462</v>
      </c>
      <c r="F58" s="14">
        <v>8.4</v>
      </c>
      <c r="G58" s="12">
        <v>10881</v>
      </c>
      <c r="H58" s="15">
        <f t="shared" si="0"/>
        <v>1225</v>
      </c>
      <c r="J58" s="7">
        <v>45831</v>
      </c>
      <c r="K58" s="8">
        <v>230622.33333333334</v>
      </c>
      <c r="L58" s="16">
        <f t="shared" si="1"/>
        <v>207225.15653846154</v>
      </c>
    </row>
    <row r="59" spans="1:12">
      <c r="A59" s="10">
        <v>45579</v>
      </c>
      <c r="B59" s="11" t="s">
        <v>7</v>
      </c>
      <c r="C59" s="12">
        <v>1161</v>
      </c>
      <c r="D59" s="13">
        <v>269</v>
      </c>
      <c r="E59" s="12">
        <v>188193</v>
      </c>
      <c r="F59" s="14">
        <v>7.34</v>
      </c>
      <c r="G59" s="12">
        <v>18576</v>
      </c>
      <c r="H59" s="15">
        <f t="shared" si="0"/>
        <v>892</v>
      </c>
      <c r="J59" s="7">
        <v>45838</v>
      </c>
      <c r="K59" s="8">
        <v>136875.66666666666</v>
      </c>
      <c r="L59" s="16">
        <f t="shared" si="1"/>
        <v>205275.39180555556</v>
      </c>
    </row>
    <row r="60" spans="1:12">
      <c r="A60" s="10">
        <v>45579</v>
      </c>
      <c r="B60" s="11" t="s">
        <v>8</v>
      </c>
      <c r="C60" s="12">
        <v>588</v>
      </c>
      <c r="D60" s="13">
        <v>52</v>
      </c>
      <c r="E60" s="12">
        <v>292040</v>
      </c>
      <c r="F60" s="14">
        <v>8.14</v>
      </c>
      <c r="G60" s="12">
        <v>9383</v>
      </c>
      <c r="H60" s="15">
        <f t="shared" si="0"/>
        <v>536</v>
      </c>
      <c r="J60" s="7">
        <v>45845</v>
      </c>
      <c r="K60" s="8">
        <v>296434</v>
      </c>
      <c r="L60" s="16">
        <f t="shared" si="1"/>
        <v>211493.54863636362</v>
      </c>
    </row>
    <row r="61" spans="1:12">
      <c r="A61" s="10">
        <v>45579</v>
      </c>
      <c r="B61" s="11" t="s">
        <v>9</v>
      </c>
      <c r="C61" s="12">
        <v>1457</v>
      </c>
      <c r="D61" s="13">
        <v>215</v>
      </c>
      <c r="E61" s="12">
        <v>325325</v>
      </c>
      <c r="F61" s="14">
        <v>9.58</v>
      </c>
      <c r="G61" s="12">
        <v>14178</v>
      </c>
      <c r="H61" s="15">
        <f t="shared" si="0"/>
        <v>1242</v>
      </c>
      <c r="J61" s="7">
        <v>45852</v>
      </c>
      <c r="K61" s="8">
        <v>257441</v>
      </c>
      <c r="L61" s="16">
        <f t="shared" si="1"/>
        <v>202999.50349999999</v>
      </c>
    </row>
    <row r="62" spans="1:12">
      <c r="A62" s="10">
        <v>45586</v>
      </c>
      <c r="B62" s="11" t="s">
        <v>7</v>
      </c>
      <c r="C62" s="12">
        <v>1190</v>
      </c>
      <c r="D62" s="13">
        <v>242</v>
      </c>
      <c r="E62" s="12">
        <v>86849</v>
      </c>
      <c r="F62" s="14">
        <v>8.06</v>
      </c>
      <c r="G62" s="12">
        <v>21254</v>
      </c>
      <c r="H62" s="15">
        <f t="shared" si="0"/>
        <v>948</v>
      </c>
      <c r="J62" s="7">
        <v>45859</v>
      </c>
      <c r="K62" s="8">
        <v>222614.66666666666</v>
      </c>
      <c r="L62" s="16">
        <f t="shared" si="1"/>
        <v>196950.44833333333</v>
      </c>
    </row>
    <row r="63" spans="1:12">
      <c r="A63" s="10">
        <v>45586</v>
      </c>
      <c r="B63" s="11" t="s">
        <v>8</v>
      </c>
      <c r="C63" s="12">
        <v>886</v>
      </c>
      <c r="D63" s="13">
        <v>124</v>
      </c>
      <c r="E63" s="12">
        <v>141161</v>
      </c>
      <c r="F63" s="14">
        <v>8.19</v>
      </c>
      <c r="G63" s="12">
        <v>14215</v>
      </c>
      <c r="H63" s="15">
        <f t="shared" si="0"/>
        <v>762</v>
      </c>
      <c r="J63" s="7">
        <v>45866</v>
      </c>
      <c r="K63" s="8">
        <v>106452.33333333333</v>
      </c>
      <c r="L63" s="16">
        <f t="shared" si="1"/>
        <v>193742.42104166668</v>
      </c>
    </row>
    <row r="64" spans="1:12">
      <c r="A64" s="10">
        <v>45586</v>
      </c>
      <c r="B64" s="11" t="s">
        <v>9</v>
      </c>
      <c r="C64" s="12">
        <v>1237</v>
      </c>
      <c r="D64" s="13">
        <v>155</v>
      </c>
      <c r="E64" s="12">
        <v>149916</v>
      </c>
      <c r="F64" s="14">
        <v>4.4800000000000004</v>
      </c>
      <c r="G64" s="12">
        <v>16921</v>
      </c>
      <c r="H64" s="15">
        <f t="shared" si="0"/>
        <v>1082</v>
      </c>
      <c r="J64" s="7">
        <v>45873</v>
      </c>
      <c r="K64" s="8">
        <v>162584.66666666666</v>
      </c>
      <c r="L64" s="16">
        <f t="shared" si="1"/>
        <v>206212.43357142856</v>
      </c>
    </row>
    <row r="65" spans="1:12">
      <c r="A65" s="10">
        <v>45593</v>
      </c>
      <c r="B65" s="11" t="s">
        <v>7</v>
      </c>
      <c r="C65" s="12">
        <v>1435</v>
      </c>
      <c r="D65" s="13">
        <v>261</v>
      </c>
      <c r="E65" s="12">
        <v>308533</v>
      </c>
      <c r="F65" s="14">
        <v>4.5199999999999996</v>
      </c>
      <c r="G65" s="12">
        <v>25130</v>
      </c>
      <c r="H65" s="15">
        <f t="shared" si="0"/>
        <v>1174</v>
      </c>
      <c r="J65" s="7">
        <v>45880</v>
      </c>
      <c r="K65" s="8">
        <v>190147</v>
      </c>
      <c r="L65" s="16">
        <f t="shared" si="1"/>
        <v>213483.72805555558</v>
      </c>
    </row>
    <row r="66" spans="1:12">
      <c r="A66" s="10">
        <v>45593</v>
      </c>
      <c r="B66" s="11" t="s">
        <v>8</v>
      </c>
      <c r="C66" s="12">
        <v>746</v>
      </c>
      <c r="D66" s="13">
        <v>282</v>
      </c>
      <c r="E66" s="12">
        <v>293894</v>
      </c>
      <c r="F66" s="14">
        <v>5.42</v>
      </c>
      <c r="G66" s="12">
        <v>25537</v>
      </c>
      <c r="H66" s="15">
        <f t="shared" si="0"/>
        <v>464</v>
      </c>
      <c r="J66" s="7">
        <v>45887</v>
      </c>
      <c r="K66" s="8">
        <v>221387.33333333334</v>
      </c>
      <c r="L66" s="16">
        <f t="shared" si="1"/>
        <v>218151.07366666669</v>
      </c>
    </row>
    <row r="67" spans="1:12">
      <c r="A67" s="10">
        <v>45593</v>
      </c>
      <c r="B67" s="11" t="s">
        <v>9</v>
      </c>
      <c r="C67" s="12">
        <v>759</v>
      </c>
      <c r="D67" s="13">
        <v>216</v>
      </c>
      <c r="E67" s="12">
        <v>147656</v>
      </c>
      <c r="F67" s="14">
        <v>4.08</v>
      </c>
      <c r="G67" s="12">
        <v>24943</v>
      </c>
      <c r="H67" s="15">
        <f t="shared" ref="H67:H130" si="2">C67-D67</f>
        <v>543</v>
      </c>
      <c r="J67" s="7">
        <v>45894</v>
      </c>
      <c r="K67" s="8">
        <v>194770</v>
      </c>
      <c r="L67" s="16">
        <f t="shared" si="1"/>
        <v>217342.00875000001</v>
      </c>
    </row>
    <row r="68" spans="1:12">
      <c r="A68" s="10">
        <v>45600</v>
      </c>
      <c r="B68" s="11" t="s">
        <v>7</v>
      </c>
      <c r="C68" s="12">
        <v>1437</v>
      </c>
      <c r="D68" s="13">
        <v>235</v>
      </c>
      <c r="E68" s="12">
        <v>326791</v>
      </c>
      <c r="F68" s="14">
        <v>4.0599999999999996</v>
      </c>
      <c r="G68" s="12">
        <v>14563</v>
      </c>
      <c r="H68" s="15">
        <f t="shared" si="2"/>
        <v>1202</v>
      </c>
      <c r="J68" s="7">
        <v>45901</v>
      </c>
      <c r="K68" s="8">
        <v>222787</v>
      </c>
      <c r="L68" s="16">
        <f t="shared" ref="L68:L69" si="3">AVERAGE(K68:K134)</f>
        <v>224866.01166666669</v>
      </c>
    </row>
    <row r="69" spans="1:12">
      <c r="A69" s="10">
        <v>45600</v>
      </c>
      <c r="B69" s="11" t="s">
        <v>8</v>
      </c>
      <c r="C69" s="12">
        <v>1463</v>
      </c>
      <c r="D69" s="13">
        <v>73</v>
      </c>
      <c r="E69" s="12">
        <v>348877</v>
      </c>
      <c r="F69" s="14">
        <v>9.91</v>
      </c>
      <c r="G69" s="12">
        <v>26273</v>
      </c>
      <c r="H69" s="15">
        <f t="shared" si="2"/>
        <v>1390</v>
      </c>
      <c r="J69" s="7">
        <v>45908</v>
      </c>
      <c r="K69" s="8">
        <v>219302</v>
      </c>
      <c r="L69" s="16">
        <f t="shared" si="3"/>
        <v>225905.51750000002</v>
      </c>
    </row>
    <row r="70" spans="1:12">
      <c r="A70" s="10">
        <v>45600</v>
      </c>
      <c r="B70" s="11" t="s">
        <v>9</v>
      </c>
      <c r="C70" s="12">
        <v>1208</v>
      </c>
      <c r="D70" s="13">
        <v>224</v>
      </c>
      <c r="E70" s="12">
        <v>122730</v>
      </c>
      <c r="F70" s="14">
        <v>8.7200000000000006</v>
      </c>
      <c r="G70" s="12">
        <v>10858</v>
      </c>
      <c r="H70" s="15">
        <f t="shared" si="2"/>
        <v>984</v>
      </c>
      <c r="J70" s="7" t="s">
        <v>11</v>
      </c>
      <c r="K70" s="8">
        <v>232509.035</v>
      </c>
      <c r="L70" s="8"/>
    </row>
    <row r="71" spans="1:12">
      <c r="A71" s="10">
        <v>45607</v>
      </c>
      <c r="B71" s="11" t="s">
        <v>7</v>
      </c>
      <c r="C71" s="12">
        <v>1391</v>
      </c>
      <c r="D71" s="13">
        <v>187</v>
      </c>
      <c r="E71" s="12">
        <v>306508</v>
      </c>
      <c r="F71" s="14">
        <v>8.3800000000000008</v>
      </c>
      <c r="G71" s="12">
        <v>25038</v>
      </c>
      <c r="H71" s="15">
        <f t="shared" si="2"/>
        <v>1204</v>
      </c>
    </row>
    <row r="72" spans="1:12">
      <c r="A72" s="10">
        <v>45607</v>
      </c>
      <c r="B72" s="11" t="s">
        <v>8</v>
      </c>
      <c r="C72" s="12">
        <v>655</v>
      </c>
      <c r="D72" s="13">
        <v>123</v>
      </c>
      <c r="E72" s="12">
        <v>202472</v>
      </c>
      <c r="F72" s="14">
        <v>7.56</v>
      </c>
      <c r="G72" s="12">
        <v>9092</v>
      </c>
      <c r="H72" s="15">
        <f t="shared" si="2"/>
        <v>532</v>
      </c>
    </row>
    <row r="73" spans="1:12">
      <c r="A73" s="10">
        <v>45607</v>
      </c>
      <c r="B73" s="11" t="s">
        <v>9</v>
      </c>
      <c r="C73" s="12">
        <v>1148</v>
      </c>
      <c r="D73" s="13">
        <v>90</v>
      </c>
      <c r="E73" s="12">
        <v>227249</v>
      </c>
      <c r="F73" s="14">
        <v>7.24</v>
      </c>
      <c r="G73" s="12">
        <v>17662</v>
      </c>
      <c r="H73" s="15">
        <f t="shared" si="2"/>
        <v>1058</v>
      </c>
    </row>
    <row r="74" spans="1:12">
      <c r="A74" s="10">
        <v>45614</v>
      </c>
      <c r="B74" s="11" t="s">
        <v>7</v>
      </c>
      <c r="C74" s="12">
        <v>946</v>
      </c>
      <c r="D74" s="13">
        <v>270</v>
      </c>
      <c r="E74" s="12">
        <v>246567</v>
      </c>
      <c r="F74" s="14">
        <v>4.53</v>
      </c>
      <c r="G74" s="12">
        <v>5924</v>
      </c>
      <c r="H74" s="15">
        <f t="shared" si="2"/>
        <v>676</v>
      </c>
    </row>
    <row r="75" spans="1:12">
      <c r="A75" s="10">
        <v>45614</v>
      </c>
      <c r="B75" s="11" t="s">
        <v>8</v>
      </c>
      <c r="C75" s="12">
        <v>791</v>
      </c>
      <c r="D75" s="13">
        <v>214</v>
      </c>
      <c r="E75" s="12">
        <v>114738</v>
      </c>
      <c r="F75" s="14">
        <v>6.62</v>
      </c>
      <c r="G75" s="12">
        <v>25347</v>
      </c>
      <c r="H75" s="15">
        <f t="shared" si="2"/>
        <v>577</v>
      </c>
    </row>
    <row r="76" spans="1:12">
      <c r="A76" s="10">
        <v>45614</v>
      </c>
      <c r="B76" s="11" t="s">
        <v>9</v>
      </c>
      <c r="C76" s="12">
        <v>793</v>
      </c>
      <c r="D76" s="13">
        <v>111</v>
      </c>
      <c r="E76" s="12">
        <v>333500</v>
      </c>
      <c r="F76" s="14">
        <v>6.36</v>
      </c>
      <c r="G76" s="12">
        <v>8910</v>
      </c>
      <c r="H76" s="15">
        <f t="shared" si="2"/>
        <v>682</v>
      </c>
    </row>
    <row r="77" spans="1:12">
      <c r="A77" s="10">
        <v>45621</v>
      </c>
      <c r="B77" s="11" t="s">
        <v>7</v>
      </c>
      <c r="C77" s="12">
        <v>663</v>
      </c>
      <c r="D77" s="13">
        <v>213</v>
      </c>
      <c r="E77" s="12">
        <v>352677</v>
      </c>
      <c r="F77" s="14">
        <v>9</v>
      </c>
      <c r="G77" s="12">
        <v>20438</v>
      </c>
      <c r="H77" s="15">
        <f t="shared" si="2"/>
        <v>450</v>
      </c>
    </row>
    <row r="78" spans="1:12">
      <c r="A78" s="10">
        <v>45621</v>
      </c>
      <c r="B78" s="11" t="s">
        <v>8</v>
      </c>
      <c r="C78" s="12">
        <v>954</v>
      </c>
      <c r="D78" s="13">
        <v>271</v>
      </c>
      <c r="E78" s="12">
        <v>160936</v>
      </c>
      <c r="F78" s="14">
        <v>8.83</v>
      </c>
      <c r="G78" s="12">
        <v>8760</v>
      </c>
      <c r="H78" s="15">
        <f t="shared" si="2"/>
        <v>683</v>
      </c>
    </row>
    <row r="79" spans="1:12">
      <c r="A79" s="10">
        <v>45621</v>
      </c>
      <c r="B79" s="11" t="s">
        <v>9</v>
      </c>
      <c r="C79" s="12">
        <v>1313</v>
      </c>
      <c r="D79" s="13">
        <v>159</v>
      </c>
      <c r="E79" s="12">
        <v>197183</v>
      </c>
      <c r="F79" s="14">
        <v>9.7100000000000009</v>
      </c>
      <c r="G79" s="12">
        <v>6625</v>
      </c>
      <c r="H79" s="15">
        <f t="shared" si="2"/>
        <v>1154</v>
      </c>
    </row>
    <row r="80" spans="1:12">
      <c r="A80" s="10">
        <v>45628</v>
      </c>
      <c r="B80" s="11" t="s">
        <v>7</v>
      </c>
      <c r="C80" s="12">
        <v>895</v>
      </c>
      <c r="D80" s="13">
        <v>87</v>
      </c>
      <c r="E80" s="12">
        <v>171271</v>
      </c>
      <c r="F80" s="14">
        <v>6.68</v>
      </c>
      <c r="G80" s="12">
        <v>23329</v>
      </c>
      <c r="H80" s="15">
        <f t="shared" si="2"/>
        <v>808</v>
      </c>
    </row>
    <row r="81" spans="1:8">
      <c r="A81" s="10">
        <v>45628</v>
      </c>
      <c r="B81" s="11" t="s">
        <v>8</v>
      </c>
      <c r="C81" s="12">
        <v>1027</v>
      </c>
      <c r="D81" s="13">
        <v>156</v>
      </c>
      <c r="E81" s="12">
        <v>111293</v>
      </c>
      <c r="F81" s="14">
        <v>5.51</v>
      </c>
      <c r="G81" s="12">
        <v>7299</v>
      </c>
      <c r="H81" s="15">
        <f t="shared" si="2"/>
        <v>871</v>
      </c>
    </row>
    <row r="82" spans="1:8">
      <c r="A82" s="10">
        <v>45628</v>
      </c>
      <c r="B82" s="11" t="s">
        <v>9</v>
      </c>
      <c r="C82" s="12">
        <v>990</v>
      </c>
      <c r="D82" s="13">
        <v>286</v>
      </c>
      <c r="E82" s="12">
        <v>351493</v>
      </c>
      <c r="F82" s="14">
        <v>7.97</v>
      </c>
      <c r="G82" s="12">
        <v>14496</v>
      </c>
      <c r="H82" s="15">
        <f t="shared" si="2"/>
        <v>704</v>
      </c>
    </row>
    <row r="83" spans="1:8">
      <c r="A83" s="10">
        <v>45635</v>
      </c>
      <c r="B83" s="11" t="s">
        <v>7</v>
      </c>
      <c r="C83" s="12">
        <v>875</v>
      </c>
      <c r="D83" s="13">
        <v>264</v>
      </c>
      <c r="E83" s="12">
        <v>345631</v>
      </c>
      <c r="F83" s="14">
        <v>9.18</v>
      </c>
      <c r="G83" s="12">
        <v>25703</v>
      </c>
      <c r="H83" s="15">
        <f t="shared" si="2"/>
        <v>611</v>
      </c>
    </row>
    <row r="84" spans="1:8">
      <c r="A84" s="10">
        <v>45635</v>
      </c>
      <c r="B84" s="11" t="s">
        <v>8</v>
      </c>
      <c r="C84" s="12">
        <v>599</v>
      </c>
      <c r="D84" s="13">
        <v>194</v>
      </c>
      <c r="E84" s="12">
        <v>105622</v>
      </c>
      <c r="F84" s="14">
        <v>6.44</v>
      </c>
      <c r="G84" s="12">
        <v>15108</v>
      </c>
      <c r="H84" s="15">
        <f t="shared" si="2"/>
        <v>405</v>
      </c>
    </row>
    <row r="85" spans="1:8">
      <c r="A85" s="10">
        <v>45635</v>
      </c>
      <c r="B85" s="11" t="s">
        <v>9</v>
      </c>
      <c r="C85" s="12">
        <v>630</v>
      </c>
      <c r="D85" s="13">
        <v>248</v>
      </c>
      <c r="E85" s="12">
        <v>119054</v>
      </c>
      <c r="F85" s="14">
        <v>5.0199999999999996</v>
      </c>
      <c r="G85" s="12">
        <v>18867</v>
      </c>
      <c r="H85" s="15">
        <f t="shared" si="2"/>
        <v>382</v>
      </c>
    </row>
    <row r="86" spans="1:8">
      <c r="A86" s="10">
        <v>45642</v>
      </c>
      <c r="B86" s="11" t="s">
        <v>7</v>
      </c>
      <c r="C86" s="12">
        <v>1350</v>
      </c>
      <c r="D86" s="13">
        <v>233</v>
      </c>
      <c r="E86" s="12">
        <v>171670</v>
      </c>
      <c r="F86" s="14">
        <v>4.53</v>
      </c>
      <c r="G86" s="12">
        <v>17574</v>
      </c>
      <c r="H86" s="15">
        <f t="shared" si="2"/>
        <v>1117</v>
      </c>
    </row>
    <row r="87" spans="1:8">
      <c r="A87" s="10">
        <v>45642</v>
      </c>
      <c r="B87" s="11" t="s">
        <v>8</v>
      </c>
      <c r="C87" s="12">
        <v>632</v>
      </c>
      <c r="D87" s="13">
        <v>155</v>
      </c>
      <c r="E87" s="12">
        <v>170432</v>
      </c>
      <c r="F87" s="14">
        <v>9.17</v>
      </c>
      <c r="G87" s="12">
        <v>12840</v>
      </c>
      <c r="H87" s="15">
        <f t="shared" si="2"/>
        <v>477</v>
      </c>
    </row>
    <row r="88" spans="1:8">
      <c r="A88" s="10">
        <v>45642</v>
      </c>
      <c r="B88" s="11" t="s">
        <v>9</v>
      </c>
      <c r="C88" s="12">
        <v>1182</v>
      </c>
      <c r="D88" s="13">
        <v>83</v>
      </c>
      <c r="E88" s="12">
        <v>140300</v>
      </c>
      <c r="F88" s="14">
        <v>3.27</v>
      </c>
      <c r="G88" s="12">
        <v>21079</v>
      </c>
      <c r="H88" s="15">
        <f t="shared" si="2"/>
        <v>1099</v>
      </c>
    </row>
    <row r="89" spans="1:8">
      <c r="A89" s="10">
        <v>45649</v>
      </c>
      <c r="B89" s="11" t="s">
        <v>7</v>
      </c>
      <c r="C89" s="12">
        <v>661</v>
      </c>
      <c r="D89" s="13">
        <v>94</v>
      </c>
      <c r="E89" s="12">
        <v>116538</v>
      </c>
      <c r="F89" s="14">
        <v>5.31</v>
      </c>
      <c r="G89" s="12">
        <v>23486</v>
      </c>
      <c r="H89" s="15">
        <f t="shared" si="2"/>
        <v>567</v>
      </c>
    </row>
    <row r="90" spans="1:8">
      <c r="A90" s="10">
        <v>45649</v>
      </c>
      <c r="B90" s="11" t="s">
        <v>8</v>
      </c>
      <c r="C90" s="12">
        <v>1360</v>
      </c>
      <c r="D90" s="13">
        <v>227</v>
      </c>
      <c r="E90" s="12">
        <v>176902</v>
      </c>
      <c r="F90" s="14">
        <v>6.03</v>
      </c>
      <c r="G90" s="12">
        <v>5960</v>
      </c>
      <c r="H90" s="15">
        <f t="shared" si="2"/>
        <v>1133</v>
      </c>
    </row>
    <row r="91" spans="1:8">
      <c r="A91" s="10">
        <v>45649</v>
      </c>
      <c r="B91" s="11" t="s">
        <v>9</v>
      </c>
      <c r="C91" s="12">
        <v>935</v>
      </c>
      <c r="D91" s="13">
        <v>85</v>
      </c>
      <c r="E91" s="12">
        <v>326821</v>
      </c>
      <c r="F91" s="14">
        <v>8.89</v>
      </c>
      <c r="G91" s="12">
        <v>13301</v>
      </c>
      <c r="H91" s="15">
        <f t="shared" si="2"/>
        <v>850</v>
      </c>
    </row>
    <row r="92" spans="1:8">
      <c r="A92" s="10">
        <v>45656</v>
      </c>
      <c r="B92" s="11" t="s">
        <v>7</v>
      </c>
      <c r="C92" s="12">
        <v>664</v>
      </c>
      <c r="D92" s="13">
        <v>251</v>
      </c>
      <c r="E92" s="12">
        <v>240598</v>
      </c>
      <c r="F92" s="14">
        <v>4.79</v>
      </c>
      <c r="G92" s="12">
        <v>10563</v>
      </c>
      <c r="H92" s="15">
        <f t="shared" si="2"/>
        <v>413</v>
      </c>
    </row>
    <row r="93" spans="1:8">
      <c r="A93" s="10">
        <v>45656</v>
      </c>
      <c r="B93" s="11" t="s">
        <v>8</v>
      </c>
      <c r="C93" s="12">
        <v>1490</v>
      </c>
      <c r="D93" s="13">
        <v>103</v>
      </c>
      <c r="E93" s="12">
        <v>373274</v>
      </c>
      <c r="F93" s="14">
        <v>4.8</v>
      </c>
      <c r="G93" s="12">
        <v>19949</v>
      </c>
      <c r="H93" s="15">
        <f t="shared" si="2"/>
        <v>1387</v>
      </c>
    </row>
    <row r="94" spans="1:8">
      <c r="A94" s="10">
        <v>45656</v>
      </c>
      <c r="B94" s="11" t="s">
        <v>9</v>
      </c>
      <c r="C94" s="12">
        <v>601</v>
      </c>
      <c r="D94" s="13">
        <v>64</v>
      </c>
      <c r="E94" s="12">
        <v>123272</v>
      </c>
      <c r="F94" s="14">
        <v>4.07</v>
      </c>
      <c r="G94" s="12">
        <v>14273</v>
      </c>
      <c r="H94" s="15">
        <f t="shared" si="2"/>
        <v>537</v>
      </c>
    </row>
    <row r="95" spans="1:8">
      <c r="A95" s="10">
        <v>45663</v>
      </c>
      <c r="B95" s="11" t="s">
        <v>7</v>
      </c>
      <c r="C95" s="12">
        <v>613</v>
      </c>
      <c r="D95" s="13">
        <v>170</v>
      </c>
      <c r="E95" s="12">
        <v>139266</v>
      </c>
      <c r="F95" s="14">
        <v>6.06</v>
      </c>
      <c r="G95" s="12">
        <v>9247</v>
      </c>
      <c r="H95" s="15">
        <f t="shared" si="2"/>
        <v>443</v>
      </c>
    </row>
    <row r="96" spans="1:8">
      <c r="A96" s="10">
        <v>45663</v>
      </c>
      <c r="B96" s="11" t="s">
        <v>8</v>
      </c>
      <c r="C96" s="12">
        <v>1340</v>
      </c>
      <c r="D96" s="13">
        <v>57</v>
      </c>
      <c r="E96" s="12">
        <v>155927</v>
      </c>
      <c r="F96" s="14">
        <v>7.79</v>
      </c>
      <c r="G96" s="12">
        <v>11972</v>
      </c>
      <c r="H96" s="15">
        <f t="shared" si="2"/>
        <v>1283</v>
      </c>
    </row>
    <row r="97" spans="1:8">
      <c r="A97" s="10">
        <v>45663</v>
      </c>
      <c r="B97" s="11" t="s">
        <v>9</v>
      </c>
      <c r="C97" s="12">
        <v>953</v>
      </c>
      <c r="D97" s="13">
        <v>228</v>
      </c>
      <c r="E97" s="12">
        <v>258398</v>
      </c>
      <c r="F97" s="14">
        <v>9.0500000000000007</v>
      </c>
      <c r="G97" s="12">
        <v>13314</v>
      </c>
      <c r="H97" s="15">
        <f t="shared" si="2"/>
        <v>725</v>
      </c>
    </row>
    <row r="98" spans="1:8">
      <c r="A98" s="10">
        <v>45670</v>
      </c>
      <c r="B98" s="11" t="s">
        <v>7</v>
      </c>
      <c r="C98" s="12">
        <v>532</v>
      </c>
      <c r="D98" s="13">
        <v>65</v>
      </c>
      <c r="E98" s="12">
        <v>338561</v>
      </c>
      <c r="F98" s="14">
        <v>3.5</v>
      </c>
      <c r="G98" s="12">
        <v>14749</v>
      </c>
      <c r="H98" s="15">
        <f t="shared" si="2"/>
        <v>467</v>
      </c>
    </row>
    <row r="99" spans="1:8">
      <c r="A99" s="10">
        <v>45670</v>
      </c>
      <c r="B99" s="11" t="s">
        <v>8</v>
      </c>
      <c r="C99" s="12">
        <v>1414</v>
      </c>
      <c r="D99" s="13">
        <v>60</v>
      </c>
      <c r="E99" s="12">
        <v>341856</v>
      </c>
      <c r="F99" s="14">
        <v>8.76</v>
      </c>
      <c r="G99" s="12">
        <v>6868</v>
      </c>
      <c r="H99" s="15">
        <f t="shared" si="2"/>
        <v>1354</v>
      </c>
    </row>
    <row r="100" spans="1:8">
      <c r="A100" s="10">
        <v>45670</v>
      </c>
      <c r="B100" s="11" t="s">
        <v>9</v>
      </c>
      <c r="C100" s="12">
        <v>685</v>
      </c>
      <c r="D100" s="13">
        <v>165</v>
      </c>
      <c r="E100" s="12">
        <v>175860</v>
      </c>
      <c r="F100" s="14">
        <v>6.26</v>
      </c>
      <c r="G100" s="12">
        <v>6027</v>
      </c>
      <c r="H100" s="15">
        <f t="shared" si="2"/>
        <v>520</v>
      </c>
    </row>
    <row r="101" spans="1:8">
      <c r="A101" s="10">
        <v>45677</v>
      </c>
      <c r="B101" s="11" t="s">
        <v>7</v>
      </c>
      <c r="C101" s="12">
        <v>601</v>
      </c>
      <c r="D101" s="13">
        <v>159</v>
      </c>
      <c r="E101" s="12">
        <v>327722</v>
      </c>
      <c r="F101" s="14">
        <v>3.33</v>
      </c>
      <c r="G101" s="12">
        <v>25267</v>
      </c>
      <c r="H101" s="15">
        <f t="shared" si="2"/>
        <v>442</v>
      </c>
    </row>
    <row r="102" spans="1:8">
      <c r="A102" s="10">
        <v>45677</v>
      </c>
      <c r="B102" s="11" t="s">
        <v>8</v>
      </c>
      <c r="C102" s="12">
        <v>841</v>
      </c>
      <c r="D102" s="13">
        <v>295</v>
      </c>
      <c r="E102" s="12">
        <v>271638</v>
      </c>
      <c r="F102" s="14">
        <v>9.15</v>
      </c>
      <c r="G102" s="12">
        <v>5900</v>
      </c>
      <c r="H102" s="15">
        <f t="shared" si="2"/>
        <v>546</v>
      </c>
    </row>
    <row r="103" spans="1:8">
      <c r="A103" s="10">
        <v>45677</v>
      </c>
      <c r="B103" s="11" t="s">
        <v>9</v>
      </c>
      <c r="C103" s="12">
        <v>1105</v>
      </c>
      <c r="D103" s="13">
        <v>261</v>
      </c>
      <c r="E103" s="12">
        <v>333851</v>
      </c>
      <c r="F103" s="14">
        <v>6.03</v>
      </c>
      <c r="G103" s="12">
        <v>11181</v>
      </c>
      <c r="H103" s="15">
        <f t="shared" si="2"/>
        <v>844</v>
      </c>
    </row>
    <row r="104" spans="1:8">
      <c r="A104" s="10">
        <v>45684</v>
      </c>
      <c r="B104" s="11" t="s">
        <v>7</v>
      </c>
      <c r="C104" s="12">
        <v>566</v>
      </c>
      <c r="D104" s="13">
        <v>225</v>
      </c>
      <c r="E104" s="12">
        <v>368984</v>
      </c>
      <c r="F104" s="14">
        <v>9.82</v>
      </c>
      <c r="G104" s="12">
        <v>9592</v>
      </c>
      <c r="H104" s="15">
        <f t="shared" si="2"/>
        <v>341</v>
      </c>
    </row>
    <row r="105" spans="1:8">
      <c r="A105" s="10">
        <v>45684</v>
      </c>
      <c r="B105" s="11" t="s">
        <v>8</v>
      </c>
      <c r="C105" s="12">
        <v>1149</v>
      </c>
      <c r="D105" s="13">
        <v>280</v>
      </c>
      <c r="E105" s="12">
        <v>167310</v>
      </c>
      <c r="F105" s="14">
        <v>3.7</v>
      </c>
      <c r="G105" s="12">
        <v>5291</v>
      </c>
      <c r="H105" s="15">
        <f t="shared" si="2"/>
        <v>869</v>
      </c>
    </row>
    <row r="106" spans="1:8">
      <c r="A106" s="10">
        <v>45684</v>
      </c>
      <c r="B106" s="11" t="s">
        <v>9</v>
      </c>
      <c r="C106" s="12">
        <v>819</v>
      </c>
      <c r="D106" s="13">
        <v>101</v>
      </c>
      <c r="E106" s="12">
        <v>194811</v>
      </c>
      <c r="F106" s="14">
        <v>3.35</v>
      </c>
      <c r="G106" s="12">
        <v>22244</v>
      </c>
      <c r="H106" s="15">
        <f t="shared" si="2"/>
        <v>718</v>
      </c>
    </row>
    <row r="107" spans="1:8">
      <c r="A107" s="10">
        <v>45691</v>
      </c>
      <c r="B107" s="11" t="s">
        <v>7</v>
      </c>
      <c r="C107" s="12">
        <v>795</v>
      </c>
      <c r="D107" s="13">
        <v>60</v>
      </c>
      <c r="E107" s="12">
        <v>314982</v>
      </c>
      <c r="F107" s="14">
        <v>7.31</v>
      </c>
      <c r="G107" s="12">
        <v>6824</v>
      </c>
      <c r="H107" s="15">
        <f t="shared" si="2"/>
        <v>735</v>
      </c>
    </row>
    <row r="108" spans="1:8">
      <c r="A108" s="10">
        <v>45691</v>
      </c>
      <c r="B108" s="11" t="s">
        <v>8</v>
      </c>
      <c r="C108" s="12">
        <v>681</v>
      </c>
      <c r="D108" s="13">
        <v>158</v>
      </c>
      <c r="E108" s="12">
        <v>75960</v>
      </c>
      <c r="F108" s="14">
        <v>3.13</v>
      </c>
      <c r="G108" s="12">
        <v>24112</v>
      </c>
      <c r="H108" s="15">
        <f t="shared" si="2"/>
        <v>523</v>
      </c>
    </row>
    <row r="109" spans="1:8">
      <c r="A109" s="10">
        <v>45691</v>
      </c>
      <c r="B109" s="11" t="s">
        <v>9</v>
      </c>
      <c r="C109" s="12">
        <v>534</v>
      </c>
      <c r="D109" s="13">
        <v>112</v>
      </c>
      <c r="E109" s="12">
        <v>360759</v>
      </c>
      <c r="F109" s="14">
        <v>4.8899999999999997</v>
      </c>
      <c r="G109" s="12">
        <v>25478</v>
      </c>
      <c r="H109" s="15">
        <f t="shared" si="2"/>
        <v>422</v>
      </c>
    </row>
    <row r="110" spans="1:8">
      <c r="A110" s="10">
        <v>45698</v>
      </c>
      <c r="B110" s="11" t="s">
        <v>7</v>
      </c>
      <c r="C110" s="12">
        <v>1066</v>
      </c>
      <c r="D110" s="13">
        <v>151</v>
      </c>
      <c r="E110" s="12">
        <v>297090</v>
      </c>
      <c r="F110" s="14">
        <v>8.6300000000000008</v>
      </c>
      <c r="G110" s="12">
        <v>11235</v>
      </c>
      <c r="H110" s="15">
        <f t="shared" si="2"/>
        <v>915</v>
      </c>
    </row>
    <row r="111" spans="1:8">
      <c r="A111" s="10">
        <v>45698</v>
      </c>
      <c r="B111" s="11" t="s">
        <v>8</v>
      </c>
      <c r="C111" s="12">
        <v>1270</v>
      </c>
      <c r="D111" s="13">
        <v>162</v>
      </c>
      <c r="E111" s="12">
        <v>92040</v>
      </c>
      <c r="F111" s="14">
        <v>8.0299999999999994</v>
      </c>
      <c r="G111" s="12">
        <v>6120</v>
      </c>
      <c r="H111" s="15">
        <f t="shared" si="2"/>
        <v>1108</v>
      </c>
    </row>
    <row r="112" spans="1:8">
      <c r="A112" s="10">
        <v>45698</v>
      </c>
      <c r="B112" s="11" t="s">
        <v>9</v>
      </c>
      <c r="C112" s="12">
        <v>536</v>
      </c>
      <c r="D112" s="13">
        <v>198</v>
      </c>
      <c r="E112" s="12">
        <v>174610</v>
      </c>
      <c r="F112" s="14">
        <v>7.85</v>
      </c>
      <c r="G112" s="12">
        <v>20572</v>
      </c>
      <c r="H112" s="15">
        <f t="shared" si="2"/>
        <v>338</v>
      </c>
    </row>
    <row r="113" spans="1:8">
      <c r="A113" s="10">
        <v>45705</v>
      </c>
      <c r="B113" s="11" t="s">
        <v>7</v>
      </c>
      <c r="C113" s="12">
        <v>819</v>
      </c>
      <c r="D113" s="13">
        <v>95</v>
      </c>
      <c r="E113" s="12">
        <v>177376</v>
      </c>
      <c r="F113" s="14">
        <v>6.12</v>
      </c>
      <c r="G113" s="12">
        <v>14975</v>
      </c>
      <c r="H113" s="15">
        <f t="shared" si="2"/>
        <v>724</v>
      </c>
    </row>
    <row r="114" spans="1:8">
      <c r="A114" s="10">
        <v>45705</v>
      </c>
      <c r="B114" s="11" t="s">
        <v>8</v>
      </c>
      <c r="C114" s="12">
        <v>681</v>
      </c>
      <c r="D114" s="13">
        <v>218</v>
      </c>
      <c r="E114" s="12">
        <v>198882</v>
      </c>
      <c r="F114" s="14">
        <v>7.16</v>
      </c>
      <c r="G114" s="12">
        <v>22234</v>
      </c>
      <c r="H114" s="15">
        <f t="shared" si="2"/>
        <v>463</v>
      </c>
    </row>
    <row r="115" spans="1:8">
      <c r="A115" s="10">
        <v>45705</v>
      </c>
      <c r="B115" s="11" t="s">
        <v>9</v>
      </c>
      <c r="C115" s="12">
        <v>646</v>
      </c>
      <c r="D115" s="13">
        <v>290</v>
      </c>
      <c r="E115" s="12">
        <v>336383</v>
      </c>
      <c r="F115" s="14">
        <v>7.04</v>
      </c>
      <c r="G115" s="12">
        <v>6532</v>
      </c>
      <c r="H115" s="15">
        <f t="shared" si="2"/>
        <v>356</v>
      </c>
    </row>
    <row r="116" spans="1:8">
      <c r="A116" s="10">
        <v>45712</v>
      </c>
      <c r="B116" s="11" t="s">
        <v>7</v>
      </c>
      <c r="C116" s="12">
        <v>645</v>
      </c>
      <c r="D116" s="13">
        <v>267</v>
      </c>
      <c r="E116" s="12">
        <v>346890</v>
      </c>
      <c r="F116" s="14">
        <v>3.71</v>
      </c>
      <c r="G116" s="12">
        <v>24858</v>
      </c>
      <c r="H116" s="15">
        <f t="shared" si="2"/>
        <v>378</v>
      </c>
    </row>
    <row r="117" spans="1:8">
      <c r="A117" s="10">
        <v>45712</v>
      </c>
      <c r="B117" s="11" t="s">
        <v>8</v>
      </c>
      <c r="C117" s="12">
        <v>886</v>
      </c>
      <c r="D117" s="13">
        <v>250</v>
      </c>
      <c r="E117" s="12">
        <v>168170</v>
      </c>
      <c r="F117" s="14">
        <v>4.12</v>
      </c>
      <c r="G117" s="12">
        <v>13883</v>
      </c>
      <c r="H117" s="15">
        <f t="shared" si="2"/>
        <v>636</v>
      </c>
    </row>
    <row r="118" spans="1:8">
      <c r="A118" s="10">
        <v>45712</v>
      </c>
      <c r="B118" s="11" t="s">
        <v>9</v>
      </c>
      <c r="C118" s="12">
        <v>978</v>
      </c>
      <c r="D118" s="13">
        <v>279</v>
      </c>
      <c r="E118" s="12">
        <v>368872</v>
      </c>
      <c r="F118" s="14">
        <v>6.82</v>
      </c>
      <c r="G118" s="12">
        <v>18654</v>
      </c>
      <c r="H118" s="15">
        <f t="shared" si="2"/>
        <v>699</v>
      </c>
    </row>
    <row r="119" spans="1:8">
      <c r="A119" s="10">
        <v>45719</v>
      </c>
      <c r="B119" s="11" t="s">
        <v>7</v>
      </c>
      <c r="C119" s="12">
        <v>1444</v>
      </c>
      <c r="D119" s="13">
        <v>165</v>
      </c>
      <c r="E119" s="12">
        <v>116436</v>
      </c>
      <c r="F119" s="14">
        <v>8.2200000000000006</v>
      </c>
      <c r="G119" s="12">
        <v>25234</v>
      </c>
      <c r="H119" s="15">
        <f t="shared" si="2"/>
        <v>1279</v>
      </c>
    </row>
    <row r="120" spans="1:8">
      <c r="A120" s="10">
        <v>45719</v>
      </c>
      <c r="B120" s="11" t="s">
        <v>8</v>
      </c>
      <c r="C120" s="12">
        <v>1234</v>
      </c>
      <c r="D120" s="13">
        <v>228</v>
      </c>
      <c r="E120" s="12">
        <v>127502</v>
      </c>
      <c r="F120" s="14">
        <v>7.71</v>
      </c>
      <c r="G120" s="12">
        <v>6772</v>
      </c>
      <c r="H120" s="15">
        <f t="shared" si="2"/>
        <v>1006</v>
      </c>
    </row>
    <row r="121" spans="1:8">
      <c r="A121" s="10">
        <v>45719</v>
      </c>
      <c r="B121" s="11" t="s">
        <v>9</v>
      </c>
      <c r="C121" s="12">
        <v>665</v>
      </c>
      <c r="D121" s="13">
        <v>187</v>
      </c>
      <c r="E121" s="12">
        <v>274567</v>
      </c>
      <c r="F121" s="14">
        <v>7.39</v>
      </c>
      <c r="G121" s="12">
        <v>22428</v>
      </c>
      <c r="H121" s="15">
        <f t="shared" si="2"/>
        <v>478</v>
      </c>
    </row>
    <row r="122" spans="1:8">
      <c r="A122" s="10">
        <v>45726</v>
      </c>
      <c r="B122" s="11" t="s">
        <v>7</v>
      </c>
      <c r="C122" s="12">
        <v>631</v>
      </c>
      <c r="D122" s="13">
        <v>86</v>
      </c>
      <c r="E122" s="12">
        <v>295090</v>
      </c>
      <c r="F122" s="14">
        <v>7.89</v>
      </c>
      <c r="G122" s="12">
        <v>11911</v>
      </c>
      <c r="H122" s="15">
        <f t="shared" si="2"/>
        <v>545</v>
      </c>
    </row>
    <row r="123" spans="1:8">
      <c r="A123" s="10">
        <v>45726</v>
      </c>
      <c r="B123" s="11" t="s">
        <v>8</v>
      </c>
      <c r="C123" s="12">
        <v>1159</v>
      </c>
      <c r="D123" s="13">
        <v>154</v>
      </c>
      <c r="E123" s="12">
        <v>194994</v>
      </c>
      <c r="F123" s="14">
        <v>6.39</v>
      </c>
      <c r="G123" s="12">
        <v>21900</v>
      </c>
      <c r="H123" s="15">
        <f t="shared" si="2"/>
        <v>1005</v>
      </c>
    </row>
    <row r="124" spans="1:8">
      <c r="A124" s="10">
        <v>45726</v>
      </c>
      <c r="B124" s="11" t="s">
        <v>9</v>
      </c>
      <c r="C124" s="12">
        <v>950</v>
      </c>
      <c r="D124" s="13">
        <v>185</v>
      </c>
      <c r="E124" s="12">
        <v>340750</v>
      </c>
      <c r="F124" s="14">
        <v>6.77</v>
      </c>
      <c r="G124" s="12">
        <v>25542</v>
      </c>
      <c r="H124" s="15">
        <f t="shared" si="2"/>
        <v>765</v>
      </c>
    </row>
    <row r="125" spans="1:8">
      <c r="A125" s="10">
        <v>45733</v>
      </c>
      <c r="B125" s="11" t="s">
        <v>7</v>
      </c>
      <c r="C125" s="12">
        <v>693</v>
      </c>
      <c r="D125" s="13">
        <v>129</v>
      </c>
      <c r="E125" s="12">
        <v>296031</v>
      </c>
      <c r="F125" s="14">
        <v>3.41</v>
      </c>
      <c r="G125" s="12">
        <v>7140</v>
      </c>
      <c r="H125" s="15">
        <f t="shared" si="2"/>
        <v>564</v>
      </c>
    </row>
    <row r="126" spans="1:8">
      <c r="A126" s="10">
        <v>45733</v>
      </c>
      <c r="B126" s="11" t="s">
        <v>8</v>
      </c>
      <c r="C126" s="12">
        <v>576</v>
      </c>
      <c r="D126" s="13">
        <v>80</v>
      </c>
      <c r="E126" s="12">
        <v>345688</v>
      </c>
      <c r="F126" s="14">
        <v>4.1100000000000003</v>
      </c>
      <c r="G126" s="12">
        <v>20474</v>
      </c>
      <c r="H126" s="15">
        <f t="shared" si="2"/>
        <v>496</v>
      </c>
    </row>
    <row r="127" spans="1:8">
      <c r="A127" s="10">
        <v>45733</v>
      </c>
      <c r="B127" s="11" t="s">
        <v>9</v>
      </c>
      <c r="C127" s="12">
        <v>1274</v>
      </c>
      <c r="D127" s="13">
        <v>146</v>
      </c>
      <c r="E127" s="12">
        <v>263488</v>
      </c>
      <c r="F127" s="14">
        <v>9.58</v>
      </c>
      <c r="G127" s="12">
        <v>8698</v>
      </c>
      <c r="H127" s="15">
        <f t="shared" si="2"/>
        <v>1128</v>
      </c>
    </row>
    <row r="128" spans="1:8">
      <c r="A128" s="10">
        <v>45740</v>
      </c>
      <c r="B128" s="11" t="s">
        <v>7</v>
      </c>
      <c r="C128" s="12">
        <v>818</v>
      </c>
      <c r="D128" s="13">
        <v>253</v>
      </c>
      <c r="E128" s="12">
        <v>184911</v>
      </c>
      <c r="F128" s="14">
        <v>3.39</v>
      </c>
      <c r="G128" s="12">
        <v>10402</v>
      </c>
      <c r="H128" s="15">
        <f t="shared" si="2"/>
        <v>565</v>
      </c>
    </row>
    <row r="129" spans="1:8">
      <c r="A129" s="10">
        <v>45740</v>
      </c>
      <c r="B129" s="11" t="s">
        <v>8</v>
      </c>
      <c r="C129" s="12">
        <v>975</v>
      </c>
      <c r="D129" s="13">
        <v>162</v>
      </c>
      <c r="E129" s="12">
        <v>124497</v>
      </c>
      <c r="F129" s="14">
        <v>9.58</v>
      </c>
      <c r="G129" s="12">
        <v>26618</v>
      </c>
      <c r="H129" s="15">
        <f t="shared" si="2"/>
        <v>813</v>
      </c>
    </row>
    <row r="130" spans="1:8">
      <c r="A130" s="10">
        <v>45740</v>
      </c>
      <c r="B130" s="11" t="s">
        <v>9</v>
      </c>
      <c r="C130" s="12">
        <v>1398</v>
      </c>
      <c r="D130" s="13">
        <v>97</v>
      </c>
      <c r="E130" s="12">
        <v>397607</v>
      </c>
      <c r="F130" s="14">
        <v>5.09</v>
      </c>
      <c r="G130" s="12">
        <v>7975</v>
      </c>
      <c r="H130" s="15">
        <f t="shared" si="2"/>
        <v>1301</v>
      </c>
    </row>
    <row r="131" spans="1:8">
      <c r="A131" s="10">
        <v>45747</v>
      </c>
      <c r="B131" s="11" t="s">
        <v>7</v>
      </c>
      <c r="C131" s="12">
        <v>591</v>
      </c>
      <c r="D131" s="13">
        <v>155</v>
      </c>
      <c r="E131" s="12">
        <v>138521</v>
      </c>
      <c r="F131" s="14">
        <v>7.85</v>
      </c>
      <c r="G131" s="12">
        <v>19054</v>
      </c>
      <c r="H131" s="15">
        <f t="shared" ref="H131:H194" si="4">C131-D131</f>
        <v>436</v>
      </c>
    </row>
    <row r="132" spans="1:8">
      <c r="A132" s="10">
        <v>45747</v>
      </c>
      <c r="B132" s="11" t="s">
        <v>8</v>
      </c>
      <c r="C132" s="12">
        <v>1232</v>
      </c>
      <c r="D132" s="13">
        <v>254</v>
      </c>
      <c r="E132" s="12">
        <v>107718</v>
      </c>
      <c r="F132" s="14">
        <v>9.7100000000000009</v>
      </c>
      <c r="G132" s="12">
        <v>13740</v>
      </c>
      <c r="H132" s="15">
        <f t="shared" si="4"/>
        <v>978</v>
      </c>
    </row>
    <row r="133" spans="1:8">
      <c r="A133" s="10">
        <v>45747</v>
      </c>
      <c r="B133" s="11" t="s">
        <v>9</v>
      </c>
      <c r="C133" s="12">
        <v>1425</v>
      </c>
      <c r="D133" s="13">
        <v>58</v>
      </c>
      <c r="E133" s="12">
        <v>202234</v>
      </c>
      <c r="F133" s="14">
        <v>6.67</v>
      </c>
      <c r="G133" s="12">
        <v>18442</v>
      </c>
      <c r="H133" s="15">
        <f t="shared" si="4"/>
        <v>1367</v>
      </c>
    </row>
    <row r="134" spans="1:8">
      <c r="A134" s="10">
        <v>45754</v>
      </c>
      <c r="B134" s="11" t="s">
        <v>7</v>
      </c>
      <c r="C134" s="12">
        <v>1417</v>
      </c>
      <c r="D134" s="13">
        <v>80</v>
      </c>
      <c r="E134" s="12">
        <v>340987</v>
      </c>
      <c r="F134" s="14">
        <v>6.13</v>
      </c>
      <c r="G134" s="12">
        <v>10104</v>
      </c>
      <c r="H134" s="15">
        <f t="shared" si="4"/>
        <v>1337</v>
      </c>
    </row>
    <row r="135" spans="1:8">
      <c r="A135" s="10">
        <v>45754</v>
      </c>
      <c r="B135" s="11" t="s">
        <v>8</v>
      </c>
      <c r="C135" s="12">
        <v>1222</v>
      </c>
      <c r="D135" s="13">
        <v>208</v>
      </c>
      <c r="E135" s="12">
        <v>340098</v>
      </c>
      <c r="F135" s="14">
        <v>7.34</v>
      </c>
      <c r="G135" s="12">
        <v>21771</v>
      </c>
      <c r="H135" s="15">
        <f t="shared" si="4"/>
        <v>1014</v>
      </c>
    </row>
    <row r="136" spans="1:8">
      <c r="A136" s="10">
        <v>45754</v>
      </c>
      <c r="B136" s="11" t="s">
        <v>9</v>
      </c>
      <c r="C136" s="12">
        <v>1071</v>
      </c>
      <c r="D136" s="13">
        <v>131</v>
      </c>
      <c r="E136" s="12">
        <v>254727</v>
      </c>
      <c r="F136" s="14">
        <v>6.87</v>
      </c>
      <c r="G136" s="12">
        <v>22191</v>
      </c>
      <c r="H136" s="15">
        <f t="shared" si="4"/>
        <v>940</v>
      </c>
    </row>
    <row r="137" spans="1:8">
      <c r="A137" s="10">
        <v>45761</v>
      </c>
      <c r="B137" s="11" t="s">
        <v>7</v>
      </c>
      <c r="C137" s="12">
        <v>772</v>
      </c>
      <c r="D137" s="13">
        <v>82</v>
      </c>
      <c r="E137" s="12">
        <v>345659</v>
      </c>
      <c r="F137" s="14">
        <v>3.52</v>
      </c>
      <c r="G137" s="12">
        <v>27753</v>
      </c>
      <c r="H137" s="15">
        <f t="shared" si="4"/>
        <v>690</v>
      </c>
    </row>
    <row r="138" spans="1:8">
      <c r="A138" s="10">
        <v>45761</v>
      </c>
      <c r="B138" s="11" t="s">
        <v>8</v>
      </c>
      <c r="C138" s="12">
        <v>1472</v>
      </c>
      <c r="D138" s="13">
        <v>137</v>
      </c>
      <c r="E138" s="12">
        <v>213950</v>
      </c>
      <c r="F138" s="14">
        <v>6.96</v>
      </c>
      <c r="G138" s="12">
        <v>23736</v>
      </c>
      <c r="H138" s="15">
        <f t="shared" si="4"/>
        <v>1335</v>
      </c>
    </row>
    <row r="139" spans="1:8">
      <c r="A139" s="10">
        <v>45761</v>
      </c>
      <c r="B139" s="11" t="s">
        <v>9</v>
      </c>
      <c r="C139" s="12">
        <v>1472</v>
      </c>
      <c r="D139" s="13">
        <v>281</v>
      </c>
      <c r="E139" s="12">
        <v>258115</v>
      </c>
      <c r="F139" s="14">
        <v>7.23</v>
      </c>
      <c r="G139" s="12">
        <v>27393</v>
      </c>
      <c r="H139" s="15">
        <f t="shared" si="4"/>
        <v>1191</v>
      </c>
    </row>
    <row r="140" spans="1:8">
      <c r="A140" s="10">
        <v>45768</v>
      </c>
      <c r="B140" s="11" t="s">
        <v>7</v>
      </c>
      <c r="C140" s="12">
        <v>585</v>
      </c>
      <c r="D140" s="13">
        <v>232</v>
      </c>
      <c r="E140" s="12">
        <v>321258</v>
      </c>
      <c r="F140" s="14">
        <v>7.42</v>
      </c>
      <c r="G140" s="12">
        <v>10343</v>
      </c>
      <c r="H140" s="15">
        <f t="shared" si="4"/>
        <v>353</v>
      </c>
    </row>
    <row r="141" spans="1:8">
      <c r="A141" s="10">
        <v>45768</v>
      </c>
      <c r="B141" s="11" t="s">
        <v>8</v>
      </c>
      <c r="C141" s="12">
        <v>747</v>
      </c>
      <c r="D141" s="13">
        <v>261</v>
      </c>
      <c r="E141" s="12">
        <v>338650</v>
      </c>
      <c r="F141" s="14">
        <v>7.73</v>
      </c>
      <c r="G141" s="12">
        <v>25259</v>
      </c>
      <c r="H141" s="15">
        <f t="shared" si="4"/>
        <v>486</v>
      </c>
    </row>
    <row r="142" spans="1:8">
      <c r="A142" s="10">
        <v>45768</v>
      </c>
      <c r="B142" s="11" t="s">
        <v>9</v>
      </c>
      <c r="C142" s="12">
        <v>1113</v>
      </c>
      <c r="D142" s="13">
        <v>224</v>
      </c>
      <c r="E142" s="12">
        <v>272989</v>
      </c>
      <c r="F142" s="14">
        <v>5.13</v>
      </c>
      <c r="G142" s="12">
        <v>24827</v>
      </c>
      <c r="H142" s="15">
        <f t="shared" si="4"/>
        <v>889</v>
      </c>
    </row>
    <row r="143" spans="1:8">
      <c r="A143" s="10">
        <v>45775</v>
      </c>
      <c r="B143" s="11" t="s">
        <v>7</v>
      </c>
      <c r="C143" s="12">
        <v>1100</v>
      </c>
      <c r="D143" s="13">
        <v>117</v>
      </c>
      <c r="E143" s="12">
        <v>260204</v>
      </c>
      <c r="F143" s="14">
        <v>4.4000000000000004</v>
      </c>
      <c r="G143" s="12">
        <v>11908</v>
      </c>
      <c r="H143" s="15">
        <f t="shared" si="4"/>
        <v>983</v>
      </c>
    </row>
    <row r="144" spans="1:8">
      <c r="A144" s="10">
        <v>45775</v>
      </c>
      <c r="B144" s="11" t="s">
        <v>8</v>
      </c>
      <c r="C144" s="12">
        <v>751</v>
      </c>
      <c r="D144" s="13">
        <v>170</v>
      </c>
      <c r="E144" s="12">
        <v>283278</v>
      </c>
      <c r="F144" s="14">
        <v>3.49</v>
      </c>
      <c r="G144" s="12">
        <v>11005</v>
      </c>
      <c r="H144" s="15">
        <f t="shared" si="4"/>
        <v>581</v>
      </c>
    </row>
    <row r="145" spans="1:8">
      <c r="A145" s="10">
        <v>45775</v>
      </c>
      <c r="B145" s="11" t="s">
        <v>9</v>
      </c>
      <c r="C145" s="12">
        <v>864</v>
      </c>
      <c r="D145" s="13">
        <v>50</v>
      </c>
      <c r="E145" s="12">
        <v>277445</v>
      </c>
      <c r="F145" s="14">
        <v>3.57</v>
      </c>
      <c r="G145" s="12">
        <v>26333</v>
      </c>
      <c r="H145" s="15">
        <f t="shared" si="4"/>
        <v>814</v>
      </c>
    </row>
    <row r="146" spans="1:8">
      <c r="A146" s="10">
        <v>45782</v>
      </c>
      <c r="B146" s="11" t="s">
        <v>7</v>
      </c>
      <c r="C146" s="12">
        <v>1146</v>
      </c>
      <c r="D146" s="13">
        <v>227</v>
      </c>
      <c r="E146" s="12">
        <v>353781</v>
      </c>
      <c r="F146" s="14">
        <v>6.41</v>
      </c>
      <c r="G146" s="12">
        <v>5495</v>
      </c>
      <c r="H146" s="15">
        <f t="shared" si="4"/>
        <v>919</v>
      </c>
    </row>
    <row r="147" spans="1:8">
      <c r="A147" s="10">
        <v>45782</v>
      </c>
      <c r="B147" s="11" t="s">
        <v>8</v>
      </c>
      <c r="C147" s="12">
        <v>883</v>
      </c>
      <c r="D147" s="13">
        <v>207</v>
      </c>
      <c r="E147" s="12">
        <v>265019</v>
      </c>
      <c r="F147" s="14">
        <v>6.04</v>
      </c>
      <c r="G147" s="12">
        <v>15655</v>
      </c>
      <c r="H147" s="15">
        <f t="shared" si="4"/>
        <v>676</v>
      </c>
    </row>
    <row r="148" spans="1:8">
      <c r="A148" s="10">
        <v>45782</v>
      </c>
      <c r="B148" s="11" t="s">
        <v>9</v>
      </c>
      <c r="C148" s="12">
        <v>622</v>
      </c>
      <c r="D148" s="13">
        <v>163</v>
      </c>
      <c r="E148" s="12">
        <v>231925</v>
      </c>
      <c r="F148" s="14">
        <v>9.18</v>
      </c>
      <c r="G148" s="12">
        <v>13763</v>
      </c>
      <c r="H148" s="15">
        <f t="shared" si="4"/>
        <v>459</v>
      </c>
    </row>
    <row r="149" spans="1:8">
      <c r="A149" s="10">
        <v>45789</v>
      </c>
      <c r="B149" s="11" t="s">
        <v>7</v>
      </c>
      <c r="C149" s="12">
        <v>837</v>
      </c>
      <c r="D149" s="13">
        <v>261</v>
      </c>
      <c r="E149" s="12">
        <v>366149</v>
      </c>
      <c r="F149" s="14">
        <v>6.54</v>
      </c>
      <c r="G149" s="12">
        <v>26073</v>
      </c>
      <c r="H149" s="15">
        <f t="shared" si="4"/>
        <v>576</v>
      </c>
    </row>
    <row r="150" spans="1:8">
      <c r="A150" s="10">
        <v>45789</v>
      </c>
      <c r="B150" s="11" t="s">
        <v>8</v>
      </c>
      <c r="C150" s="12">
        <v>544</v>
      </c>
      <c r="D150" s="13">
        <v>97</v>
      </c>
      <c r="E150" s="12">
        <v>168375</v>
      </c>
      <c r="F150" s="14">
        <v>8.66</v>
      </c>
      <c r="G150" s="12">
        <v>12774</v>
      </c>
      <c r="H150" s="15">
        <f t="shared" si="4"/>
        <v>447</v>
      </c>
    </row>
    <row r="151" spans="1:8">
      <c r="A151" s="10">
        <v>45789</v>
      </c>
      <c r="B151" s="11" t="s">
        <v>9</v>
      </c>
      <c r="C151" s="12">
        <v>624</v>
      </c>
      <c r="D151" s="13">
        <v>247</v>
      </c>
      <c r="E151" s="12">
        <v>252763</v>
      </c>
      <c r="F151" s="14">
        <v>3.89</v>
      </c>
      <c r="G151" s="12">
        <v>19000</v>
      </c>
      <c r="H151" s="15">
        <f t="shared" si="4"/>
        <v>377</v>
      </c>
    </row>
    <row r="152" spans="1:8">
      <c r="A152" s="10">
        <v>45796</v>
      </c>
      <c r="B152" s="11" t="s">
        <v>7</v>
      </c>
      <c r="C152" s="12">
        <v>1073</v>
      </c>
      <c r="D152" s="13">
        <v>141</v>
      </c>
      <c r="E152" s="12">
        <v>118393</v>
      </c>
      <c r="F152" s="14">
        <v>7.95</v>
      </c>
      <c r="G152" s="12">
        <v>14051</v>
      </c>
      <c r="H152" s="15">
        <f t="shared" si="4"/>
        <v>932</v>
      </c>
    </row>
    <row r="153" spans="1:8">
      <c r="A153" s="10">
        <v>45796</v>
      </c>
      <c r="B153" s="11" t="s">
        <v>8</v>
      </c>
      <c r="C153" s="12">
        <v>1430</v>
      </c>
      <c r="D153" s="13">
        <v>74</v>
      </c>
      <c r="E153" s="12">
        <v>327012</v>
      </c>
      <c r="F153" s="14">
        <v>6.66</v>
      </c>
      <c r="G153" s="12">
        <v>27782</v>
      </c>
      <c r="H153" s="15">
        <f t="shared" si="4"/>
        <v>1356</v>
      </c>
    </row>
    <row r="154" spans="1:8">
      <c r="A154" s="10">
        <v>45796</v>
      </c>
      <c r="B154" s="11" t="s">
        <v>9</v>
      </c>
      <c r="C154" s="12">
        <v>1358</v>
      </c>
      <c r="D154" s="13">
        <v>77</v>
      </c>
      <c r="E154" s="12">
        <v>169688</v>
      </c>
      <c r="F154" s="14">
        <v>5.25</v>
      </c>
      <c r="G154" s="12">
        <v>7859</v>
      </c>
      <c r="H154" s="15">
        <f t="shared" si="4"/>
        <v>1281</v>
      </c>
    </row>
    <row r="155" spans="1:8">
      <c r="A155" s="10">
        <v>45803</v>
      </c>
      <c r="B155" s="11" t="s">
        <v>7</v>
      </c>
      <c r="C155" s="12">
        <v>1242</v>
      </c>
      <c r="D155" s="13">
        <v>201</v>
      </c>
      <c r="E155" s="12">
        <v>271935</v>
      </c>
      <c r="F155" s="14">
        <v>5.07</v>
      </c>
      <c r="G155" s="12">
        <v>15773</v>
      </c>
      <c r="H155" s="15">
        <f t="shared" si="4"/>
        <v>1041</v>
      </c>
    </row>
    <row r="156" spans="1:8">
      <c r="A156" s="10">
        <v>45803</v>
      </c>
      <c r="B156" s="11" t="s">
        <v>8</v>
      </c>
      <c r="C156" s="12">
        <v>1389</v>
      </c>
      <c r="D156" s="13">
        <v>205</v>
      </c>
      <c r="E156" s="12">
        <v>315981</v>
      </c>
      <c r="F156" s="14">
        <v>7.62</v>
      </c>
      <c r="G156" s="12">
        <v>20595</v>
      </c>
      <c r="H156" s="15">
        <f t="shared" si="4"/>
        <v>1184</v>
      </c>
    </row>
    <row r="157" spans="1:8">
      <c r="A157" s="10">
        <v>45803</v>
      </c>
      <c r="B157" s="11" t="s">
        <v>9</v>
      </c>
      <c r="C157" s="12">
        <v>826</v>
      </c>
      <c r="D157" s="13">
        <v>142</v>
      </c>
      <c r="E157" s="12">
        <v>341016</v>
      </c>
      <c r="F157" s="14">
        <v>7.44</v>
      </c>
      <c r="G157" s="12">
        <v>12031</v>
      </c>
      <c r="H157" s="15">
        <f t="shared" si="4"/>
        <v>684</v>
      </c>
    </row>
    <row r="158" spans="1:8">
      <c r="A158" s="10">
        <v>45810</v>
      </c>
      <c r="B158" s="11" t="s">
        <v>7</v>
      </c>
      <c r="C158" s="12">
        <v>618</v>
      </c>
      <c r="D158" s="13">
        <v>264</v>
      </c>
      <c r="E158" s="12">
        <v>285164</v>
      </c>
      <c r="F158" s="14">
        <v>4.8600000000000003</v>
      </c>
      <c r="G158" s="12">
        <v>15128</v>
      </c>
      <c r="H158" s="15">
        <f t="shared" si="4"/>
        <v>354</v>
      </c>
    </row>
    <row r="159" spans="1:8">
      <c r="A159" s="10">
        <v>45810</v>
      </c>
      <c r="B159" s="11" t="s">
        <v>8</v>
      </c>
      <c r="C159" s="12">
        <v>1419</v>
      </c>
      <c r="D159" s="13">
        <v>293</v>
      </c>
      <c r="E159" s="12">
        <v>116632</v>
      </c>
      <c r="F159" s="14">
        <v>6.93</v>
      </c>
      <c r="G159" s="12">
        <v>11826</v>
      </c>
      <c r="H159" s="15">
        <f t="shared" si="4"/>
        <v>1126</v>
      </c>
    </row>
    <row r="160" spans="1:8">
      <c r="A160" s="10">
        <v>45810</v>
      </c>
      <c r="B160" s="11" t="s">
        <v>9</v>
      </c>
      <c r="C160" s="12">
        <v>637</v>
      </c>
      <c r="D160" s="13">
        <v>68</v>
      </c>
      <c r="E160" s="12">
        <v>115694</v>
      </c>
      <c r="F160" s="14">
        <v>9.99</v>
      </c>
      <c r="G160" s="12">
        <v>12562</v>
      </c>
      <c r="H160" s="15">
        <f t="shared" si="4"/>
        <v>569</v>
      </c>
    </row>
    <row r="161" spans="1:8">
      <c r="A161" s="10">
        <v>45817</v>
      </c>
      <c r="B161" s="11" t="s">
        <v>7</v>
      </c>
      <c r="C161" s="12">
        <v>917</v>
      </c>
      <c r="D161" s="13">
        <v>187</v>
      </c>
      <c r="E161" s="12">
        <v>64444</v>
      </c>
      <c r="F161" s="14">
        <v>5.22</v>
      </c>
      <c r="G161" s="12">
        <v>13013</v>
      </c>
      <c r="H161" s="15">
        <f t="shared" si="4"/>
        <v>730</v>
      </c>
    </row>
    <row r="162" spans="1:8">
      <c r="A162" s="10">
        <v>45817</v>
      </c>
      <c r="B162" s="11" t="s">
        <v>8</v>
      </c>
      <c r="C162" s="12">
        <v>810</v>
      </c>
      <c r="D162" s="13">
        <v>232</v>
      </c>
      <c r="E162" s="12">
        <v>362559</v>
      </c>
      <c r="F162" s="14">
        <v>5.17</v>
      </c>
      <c r="G162" s="12">
        <v>12937</v>
      </c>
      <c r="H162" s="15">
        <f t="shared" si="4"/>
        <v>578</v>
      </c>
    </row>
    <row r="163" spans="1:8">
      <c r="A163" s="10">
        <v>45817</v>
      </c>
      <c r="B163" s="11" t="s">
        <v>9</v>
      </c>
      <c r="C163" s="12">
        <v>1183</v>
      </c>
      <c r="D163" s="13">
        <v>248</v>
      </c>
      <c r="E163" s="12">
        <v>226881</v>
      </c>
      <c r="F163" s="14">
        <v>5.17</v>
      </c>
      <c r="G163" s="12">
        <v>14534</v>
      </c>
      <c r="H163" s="15">
        <f t="shared" si="4"/>
        <v>935</v>
      </c>
    </row>
    <row r="164" spans="1:8">
      <c r="A164" s="10">
        <v>45824</v>
      </c>
      <c r="B164" s="11" t="s">
        <v>7</v>
      </c>
      <c r="C164" s="12">
        <v>765</v>
      </c>
      <c r="D164" s="13">
        <v>67</v>
      </c>
      <c r="E164" s="12">
        <v>283537</v>
      </c>
      <c r="F164" s="14">
        <v>6.18</v>
      </c>
      <c r="G164" s="12">
        <v>8182</v>
      </c>
      <c r="H164" s="15">
        <f t="shared" si="4"/>
        <v>698</v>
      </c>
    </row>
    <row r="165" spans="1:8">
      <c r="A165" s="10">
        <v>45824</v>
      </c>
      <c r="B165" s="11" t="s">
        <v>8</v>
      </c>
      <c r="C165" s="12">
        <v>540</v>
      </c>
      <c r="D165" s="13">
        <v>215</v>
      </c>
      <c r="E165" s="12">
        <v>62837</v>
      </c>
      <c r="F165" s="14">
        <v>5.3</v>
      </c>
      <c r="G165" s="12">
        <v>10615</v>
      </c>
      <c r="H165" s="15">
        <f t="shared" si="4"/>
        <v>325</v>
      </c>
    </row>
    <row r="166" spans="1:8">
      <c r="A166" s="10">
        <v>45824</v>
      </c>
      <c r="B166" s="11" t="s">
        <v>9</v>
      </c>
      <c r="C166" s="12">
        <v>1145</v>
      </c>
      <c r="D166" s="13">
        <v>151</v>
      </c>
      <c r="E166" s="12">
        <v>182759</v>
      </c>
      <c r="F166" s="14">
        <v>5.99</v>
      </c>
      <c r="G166" s="12">
        <v>20109</v>
      </c>
      <c r="H166" s="15">
        <f t="shared" si="4"/>
        <v>994</v>
      </c>
    </row>
    <row r="167" spans="1:8">
      <c r="A167" s="10">
        <v>45831</v>
      </c>
      <c r="B167" s="11" t="s">
        <v>7</v>
      </c>
      <c r="C167" s="12">
        <v>564</v>
      </c>
      <c r="D167" s="13">
        <v>244</v>
      </c>
      <c r="E167" s="12">
        <v>279405</v>
      </c>
      <c r="F167" s="14">
        <v>8.43</v>
      </c>
      <c r="G167" s="12">
        <v>26024</v>
      </c>
      <c r="H167" s="15">
        <f t="shared" si="4"/>
        <v>320</v>
      </c>
    </row>
    <row r="168" spans="1:8">
      <c r="A168" s="10">
        <v>45831</v>
      </c>
      <c r="B168" s="11" t="s">
        <v>8</v>
      </c>
      <c r="C168" s="12">
        <v>668</v>
      </c>
      <c r="D168" s="13">
        <v>124</v>
      </c>
      <c r="E168" s="12">
        <v>257485</v>
      </c>
      <c r="F168" s="14">
        <v>7.55</v>
      </c>
      <c r="G168" s="12">
        <v>26730</v>
      </c>
      <c r="H168" s="15">
        <f t="shared" si="4"/>
        <v>544</v>
      </c>
    </row>
    <row r="169" spans="1:8">
      <c r="A169" s="10">
        <v>45831</v>
      </c>
      <c r="B169" s="11" t="s">
        <v>9</v>
      </c>
      <c r="C169" s="12">
        <v>761</v>
      </c>
      <c r="D169" s="13">
        <v>241</v>
      </c>
      <c r="E169" s="12">
        <v>154977</v>
      </c>
      <c r="F169" s="14">
        <v>5.63</v>
      </c>
      <c r="G169" s="12">
        <v>10563</v>
      </c>
      <c r="H169" s="15">
        <f t="shared" si="4"/>
        <v>520</v>
      </c>
    </row>
    <row r="170" spans="1:8">
      <c r="A170" s="10">
        <v>45838</v>
      </c>
      <c r="B170" s="11" t="s">
        <v>7</v>
      </c>
      <c r="C170" s="12">
        <v>593</v>
      </c>
      <c r="D170" s="13">
        <v>108</v>
      </c>
      <c r="E170" s="12">
        <v>216500</v>
      </c>
      <c r="F170" s="14">
        <v>4.71</v>
      </c>
      <c r="G170" s="12">
        <v>27575</v>
      </c>
      <c r="H170" s="15">
        <f t="shared" si="4"/>
        <v>485</v>
      </c>
    </row>
    <row r="171" spans="1:8">
      <c r="A171" s="10">
        <v>45838</v>
      </c>
      <c r="B171" s="11" t="s">
        <v>8</v>
      </c>
      <c r="C171" s="12">
        <v>1349</v>
      </c>
      <c r="D171" s="13">
        <v>115</v>
      </c>
      <c r="E171" s="12">
        <v>102102</v>
      </c>
      <c r="F171" s="14">
        <v>5.28</v>
      </c>
      <c r="G171" s="12">
        <v>14479</v>
      </c>
      <c r="H171" s="15">
        <f t="shared" si="4"/>
        <v>1234</v>
      </c>
    </row>
    <row r="172" spans="1:8">
      <c r="A172" s="10">
        <v>45838</v>
      </c>
      <c r="B172" s="11" t="s">
        <v>9</v>
      </c>
      <c r="C172" s="12">
        <v>693</v>
      </c>
      <c r="D172" s="13">
        <v>97</v>
      </c>
      <c r="E172" s="12">
        <v>92025</v>
      </c>
      <c r="F172" s="14">
        <v>5.95</v>
      </c>
      <c r="G172" s="12">
        <v>15915</v>
      </c>
      <c r="H172" s="15">
        <f t="shared" si="4"/>
        <v>596</v>
      </c>
    </row>
    <row r="173" spans="1:8">
      <c r="A173" s="10">
        <v>45845</v>
      </c>
      <c r="B173" s="11" t="s">
        <v>7</v>
      </c>
      <c r="C173" s="12">
        <v>974</v>
      </c>
      <c r="D173" s="13">
        <v>143</v>
      </c>
      <c r="E173" s="12">
        <v>247965</v>
      </c>
      <c r="F173" s="14">
        <v>9.98</v>
      </c>
      <c r="G173" s="12">
        <v>12767</v>
      </c>
      <c r="H173" s="15">
        <f t="shared" si="4"/>
        <v>831</v>
      </c>
    </row>
    <row r="174" spans="1:8">
      <c r="A174" s="10">
        <v>45845</v>
      </c>
      <c r="B174" s="11" t="s">
        <v>8</v>
      </c>
      <c r="C174" s="12">
        <v>1155</v>
      </c>
      <c r="D174" s="13">
        <v>122</v>
      </c>
      <c r="E174" s="12">
        <v>387352</v>
      </c>
      <c r="F174" s="14">
        <v>9.93</v>
      </c>
      <c r="G174" s="12">
        <v>12170</v>
      </c>
      <c r="H174" s="15">
        <f t="shared" si="4"/>
        <v>1033</v>
      </c>
    </row>
    <row r="175" spans="1:8">
      <c r="A175" s="10">
        <v>45845</v>
      </c>
      <c r="B175" s="11" t="s">
        <v>9</v>
      </c>
      <c r="C175" s="12">
        <v>1051</v>
      </c>
      <c r="D175" s="13">
        <v>246</v>
      </c>
      <c r="E175" s="12">
        <v>253985</v>
      </c>
      <c r="F175" s="14">
        <v>9.08</v>
      </c>
      <c r="G175" s="12">
        <v>7245</v>
      </c>
      <c r="H175" s="15">
        <f t="shared" si="4"/>
        <v>805</v>
      </c>
    </row>
    <row r="176" spans="1:8">
      <c r="A176" s="10">
        <v>45852</v>
      </c>
      <c r="B176" s="11" t="s">
        <v>7</v>
      </c>
      <c r="C176" s="12">
        <v>1457</v>
      </c>
      <c r="D176" s="13">
        <v>183</v>
      </c>
      <c r="E176" s="12">
        <v>129640</v>
      </c>
      <c r="F176" s="14">
        <v>7.98</v>
      </c>
      <c r="G176" s="12">
        <v>12985</v>
      </c>
      <c r="H176" s="15">
        <f t="shared" si="4"/>
        <v>1274</v>
      </c>
    </row>
    <row r="177" spans="1:8">
      <c r="A177" s="10">
        <v>45852</v>
      </c>
      <c r="B177" s="11" t="s">
        <v>8</v>
      </c>
      <c r="C177" s="12">
        <v>670</v>
      </c>
      <c r="D177" s="13">
        <v>242</v>
      </c>
      <c r="E177" s="12">
        <v>281913</v>
      </c>
      <c r="F177" s="14">
        <v>9.6199999999999992</v>
      </c>
      <c r="G177" s="12">
        <v>16377</v>
      </c>
      <c r="H177" s="15">
        <f t="shared" si="4"/>
        <v>428</v>
      </c>
    </row>
    <row r="178" spans="1:8">
      <c r="A178" s="10">
        <v>45852</v>
      </c>
      <c r="B178" s="11" t="s">
        <v>9</v>
      </c>
      <c r="C178" s="12">
        <v>1111</v>
      </c>
      <c r="D178" s="13">
        <v>159</v>
      </c>
      <c r="E178" s="12">
        <v>360770</v>
      </c>
      <c r="F178" s="14">
        <v>8.7100000000000009</v>
      </c>
      <c r="G178" s="12">
        <v>11453</v>
      </c>
      <c r="H178" s="15">
        <f t="shared" si="4"/>
        <v>952</v>
      </c>
    </row>
    <row r="179" spans="1:8">
      <c r="A179" s="10">
        <v>45859</v>
      </c>
      <c r="B179" s="11" t="s">
        <v>7</v>
      </c>
      <c r="C179" s="12">
        <v>1197</v>
      </c>
      <c r="D179" s="13">
        <v>246</v>
      </c>
      <c r="E179" s="12">
        <v>127273</v>
      </c>
      <c r="F179" s="14">
        <v>6.69</v>
      </c>
      <c r="G179" s="12">
        <v>12323</v>
      </c>
      <c r="H179" s="15">
        <f t="shared" si="4"/>
        <v>951</v>
      </c>
    </row>
    <row r="180" spans="1:8">
      <c r="A180" s="10">
        <v>45859</v>
      </c>
      <c r="B180" s="11" t="s">
        <v>8</v>
      </c>
      <c r="C180" s="12">
        <v>754</v>
      </c>
      <c r="D180" s="13">
        <v>150</v>
      </c>
      <c r="E180" s="12">
        <v>189622</v>
      </c>
      <c r="F180" s="14">
        <v>4.25</v>
      </c>
      <c r="G180" s="12">
        <v>11911</v>
      </c>
      <c r="H180" s="15">
        <f t="shared" si="4"/>
        <v>604</v>
      </c>
    </row>
    <row r="181" spans="1:8">
      <c r="A181" s="10">
        <v>45859</v>
      </c>
      <c r="B181" s="11" t="s">
        <v>9</v>
      </c>
      <c r="C181" s="12">
        <v>1246</v>
      </c>
      <c r="D181" s="13">
        <v>107</v>
      </c>
      <c r="E181" s="12">
        <v>350949</v>
      </c>
      <c r="F181" s="14">
        <v>4.9800000000000004</v>
      </c>
      <c r="G181" s="12">
        <v>27809</v>
      </c>
      <c r="H181" s="15">
        <f t="shared" si="4"/>
        <v>1139</v>
      </c>
    </row>
    <row r="182" spans="1:8">
      <c r="A182" s="10">
        <v>45866</v>
      </c>
      <c r="B182" s="11" t="s">
        <v>7</v>
      </c>
      <c r="C182" s="12">
        <v>780</v>
      </c>
      <c r="D182" s="13">
        <v>213</v>
      </c>
      <c r="E182" s="12">
        <v>121431</v>
      </c>
      <c r="F182" s="14">
        <v>4.97</v>
      </c>
      <c r="G182" s="12">
        <v>21464</v>
      </c>
      <c r="H182" s="15">
        <f t="shared" si="4"/>
        <v>567</v>
      </c>
    </row>
    <row r="183" spans="1:8">
      <c r="A183" s="10">
        <v>45866</v>
      </c>
      <c r="B183" s="11" t="s">
        <v>8</v>
      </c>
      <c r="C183" s="12">
        <v>1425</v>
      </c>
      <c r="D183" s="13">
        <v>143</v>
      </c>
      <c r="E183" s="12">
        <v>116742</v>
      </c>
      <c r="F183" s="14">
        <v>3.71</v>
      </c>
      <c r="G183" s="12">
        <v>27126</v>
      </c>
      <c r="H183" s="15">
        <f t="shared" si="4"/>
        <v>1282</v>
      </c>
    </row>
    <row r="184" spans="1:8">
      <c r="A184" s="10">
        <v>45866</v>
      </c>
      <c r="B184" s="11" t="s">
        <v>9</v>
      </c>
      <c r="C184" s="12">
        <v>1490</v>
      </c>
      <c r="D184" s="13">
        <v>103</v>
      </c>
      <c r="E184" s="12">
        <v>81184</v>
      </c>
      <c r="F184" s="14">
        <v>7.79</v>
      </c>
      <c r="G184" s="12">
        <v>10681</v>
      </c>
      <c r="H184" s="15">
        <f t="shared" si="4"/>
        <v>1387</v>
      </c>
    </row>
    <row r="185" spans="1:8">
      <c r="A185" s="10">
        <v>45873</v>
      </c>
      <c r="B185" s="11" t="s">
        <v>7</v>
      </c>
      <c r="C185" s="12">
        <v>949</v>
      </c>
      <c r="D185" s="13">
        <v>282</v>
      </c>
      <c r="E185" s="12">
        <v>87126</v>
      </c>
      <c r="F185" s="14">
        <v>4.96</v>
      </c>
      <c r="G185" s="12">
        <v>5413</v>
      </c>
      <c r="H185" s="15">
        <f t="shared" si="4"/>
        <v>667</v>
      </c>
    </row>
    <row r="186" spans="1:8">
      <c r="A186" s="10">
        <v>45873</v>
      </c>
      <c r="B186" s="11" t="s">
        <v>8</v>
      </c>
      <c r="C186" s="12">
        <v>640</v>
      </c>
      <c r="D186" s="13">
        <v>141</v>
      </c>
      <c r="E186" s="12">
        <v>267546</v>
      </c>
      <c r="F186" s="14">
        <v>8.58</v>
      </c>
      <c r="G186" s="12">
        <v>25058</v>
      </c>
      <c r="H186" s="15">
        <f t="shared" si="4"/>
        <v>499</v>
      </c>
    </row>
    <row r="187" spans="1:8">
      <c r="A187" s="10">
        <v>45873</v>
      </c>
      <c r="B187" s="11" t="s">
        <v>9</v>
      </c>
      <c r="C187" s="12">
        <v>616</v>
      </c>
      <c r="D187" s="13">
        <v>93</v>
      </c>
      <c r="E187" s="12">
        <v>133082</v>
      </c>
      <c r="F187" s="14">
        <v>8.51</v>
      </c>
      <c r="G187" s="12">
        <v>18303</v>
      </c>
      <c r="H187" s="15">
        <f t="shared" si="4"/>
        <v>523</v>
      </c>
    </row>
    <row r="188" spans="1:8">
      <c r="A188" s="10">
        <v>45880</v>
      </c>
      <c r="B188" s="11" t="s">
        <v>7</v>
      </c>
      <c r="C188" s="12">
        <v>1080</v>
      </c>
      <c r="D188" s="13">
        <v>184</v>
      </c>
      <c r="E188" s="12">
        <v>340557</v>
      </c>
      <c r="F188" s="14">
        <v>5.41</v>
      </c>
      <c r="G188" s="12">
        <v>5526</v>
      </c>
      <c r="H188" s="15">
        <f t="shared" si="4"/>
        <v>896</v>
      </c>
    </row>
    <row r="189" spans="1:8">
      <c r="A189" s="10">
        <v>45880</v>
      </c>
      <c r="B189" s="11" t="s">
        <v>8</v>
      </c>
      <c r="C189" s="12">
        <v>938</v>
      </c>
      <c r="D189" s="13">
        <v>236</v>
      </c>
      <c r="E189" s="12">
        <v>116472</v>
      </c>
      <c r="F189" s="14">
        <v>8.7200000000000006</v>
      </c>
      <c r="G189" s="12">
        <v>17460</v>
      </c>
      <c r="H189" s="15">
        <f t="shared" si="4"/>
        <v>702</v>
      </c>
    </row>
    <row r="190" spans="1:8">
      <c r="A190" s="10">
        <v>45880</v>
      </c>
      <c r="B190" s="11" t="s">
        <v>9</v>
      </c>
      <c r="C190" s="12">
        <v>1007</v>
      </c>
      <c r="D190" s="13">
        <v>258</v>
      </c>
      <c r="E190" s="12">
        <v>113412</v>
      </c>
      <c r="F190" s="14">
        <v>7.71</v>
      </c>
      <c r="G190" s="12">
        <v>14475</v>
      </c>
      <c r="H190" s="15">
        <f t="shared" si="4"/>
        <v>749</v>
      </c>
    </row>
    <row r="191" spans="1:8">
      <c r="A191" s="10">
        <v>45887</v>
      </c>
      <c r="B191" s="11" t="s">
        <v>7</v>
      </c>
      <c r="C191" s="12">
        <v>541</v>
      </c>
      <c r="D191" s="13">
        <v>208</v>
      </c>
      <c r="E191" s="12">
        <v>157547</v>
      </c>
      <c r="F191" s="14">
        <v>8.35</v>
      </c>
      <c r="G191" s="12">
        <v>20162</v>
      </c>
      <c r="H191" s="15">
        <f t="shared" si="4"/>
        <v>333</v>
      </c>
    </row>
    <row r="192" spans="1:8">
      <c r="A192" s="10">
        <v>45887</v>
      </c>
      <c r="B192" s="11" t="s">
        <v>8</v>
      </c>
      <c r="C192" s="12">
        <v>745</v>
      </c>
      <c r="D192" s="13">
        <v>98</v>
      </c>
      <c r="E192" s="12">
        <v>354816</v>
      </c>
      <c r="F192" s="14">
        <v>4.03</v>
      </c>
      <c r="G192" s="12">
        <v>17103</v>
      </c>
      <c r="H192" s="15">
        <f t="shared" si="4"/>
        <v>647</v>
      </c>
    </row>
    <row r="193" spans="1:8">
      <c r="A193" s="10">
        <v>45887</v>
      </c>
      <c r="B193" s="11" t="s">
        <v>9</v>
      </c>
      <c r="C193" s="12">
        <v>936</v>
      </c>
      <c r="D193" s="13">
        <v>97</v>
      </c>
      <c r="E193" s="12">
        <v>151799</v>
      </c>
      <c r="F193" s="14">
        <v>9.3699999999999992</v>
      </c>
      <c r="G193" s="12">
        <v>15461</v>
      </c>
      <c r="H193" s="15">
        <f t="shared" si="4"/>
        <v>839</v>
      </c>
    </row>
    <row r="194" spans="1:8">
      <c r="A194" s="10">
        <v>45894</v>
      </c>
      <c r="B194" s="11" t="s">
        <v>7</v>
      </c>
      <c r="C194" s="12">
        <v>1183</v>
      </c>
      <c r="D194" s="13">
        <v>223</v>
      </c>
      <c r="E194" s="12">
        <v>143811</v>
      </c>
      <c r="F194" s="14">
        <v>6.07</v>
      </c>
      <c r="G194" s="12">
        <v>22103</v>
      </c>
      <c r="H194" s="15">
        <f t="shared" si="4"/>
        <v>960</v>
      </c>
    </row>
    <row r="195" spans="1:8">
      <c r="A195" s="10">
        <v>45894</v>
      </c>
      <c r="B195" s="11" t="s">
        <v>8</v>
      </c>
      <c r="C195" s="12">
        <v>1413</v>
      </c>
      <c r="D195" s="13">
        <v>245</v>
      </c>
      <c r="E195" s="12">
        <v>296450</v>
      </c>
      <c r="F195" s="14">
        <v>6.52</v>
      </c>
      <c r="G195" s="12">
        <v>11625</v>
      </c>
      <c r="H195" s="15">
        <f t="shared" ref="H195:H201" si="5">C195-D195</f>
        <v>1168</v>
      </c>
    </row>
    <row r="196" spans="1:8">
      <c r="A196" s="10">
        <v>45894</v>
      </c>
      <c r="B196" s="11" t="s">
        <v>9</v>
      </c>
      <c r="C196" s="12">
        <v>791</v>
      </c>
      <c r="D196" s="13">
        <v>273</v>
      </c>
      <c r="E196" s="12">
        <v>144049</v>
      </c>
      <c r="F196" s="14">
        <v>3.08</v>
      </c>
      <c r="G196" s="12">
        <v>5281</v>
      </c>
      <c r="H196" s="15">
        <f t="shared" si="5"/>
        <v>518</v>
      </c>
    </row>
    <row r="197" spans="1:8">
      <c r="A197" s="10">
        <v>45901</v>
      </c>
      <c r="B197" s="11" t="s">
        <v>7</v>
      </c>
      <c r="C197" s="12">
        <v>1052</v>
      </c>
      <c r="D197" s="13">
        <v>180</v>
      </c>
      <c r="E197" s="12">
        <v>272534</v>
      </c>
      <c r="F197" s="14">
        <v>5.34</v>
      </c>
      <c r="G197" s="12">
        <v>13424</v>
      </c>
      <c r="H197" s="15">
        <f t="shared" si="5"/>
        <v>872</v>
      </c>
    </row>
    <row r="198" spans="1:8">
      <c r="A198" s="10">
        <v>45901</v>
      </c>
      <c r="B198" s="11" t="s">
        <v>8</v>
      </c>
      <c r="C198" s="12">
        <v>572</v>
      </c>
      <c r="D198" s="13">
        <v>270</v>
      </c>
      <c r="E198" s="12">
        <v>82265</v>
      </c>
      <c r="F198" s="14">
        <v>3.65</v>
      </c>
      <c r="G198" s="12">
        <v>13140</v>
      </c>
      <c r="H198" s="15">
        <f t="shared" si="5"/>
        <v>302</v>
      </c>
    </row>
    <row r="199" spans="1:8">
      <c r="A199" s="10">
        <v>45901</v>
      </c>
      <c r="B199" s="11" t="s">
        <v>9</v>
      </c>
      <c r="C199" s="12">
        <v>503</v>
      </c>
      <c r="D199" s="13">
        <v>253</v>
      </c>
      <c r="E199" s="12">
        <v>313562</v>
      </c>
      <c r="F199" s="14">
        <v>4.18</v>
      </c>
      <c r="G199" s="12">
        <v>19538</v>
      </c>
      <c r="H199" s="15">
        <f t="shared" si="5"/>
        <v>250</v>
      </c>
    </row>
    <row r="200" spans="1:8">
      <c r="A200" s="10">
        <v>45908</v>
      </c>
      <c r="B200" s="11" t="s">
        <v>7</v>
      </c>
      <c r="C200" s="12">
        <v>1017</v>
      </c>
      <c r="D200" s="13">
        <v>197</v>
      </c>
      <c r="E200" s="12">
        <v>89918</v>
      </c>
      <c r="F200" s="14">
        <v>3.91</v>
      </c>
      <c r="G200" s="12">
        <v>7881</v>
      </c>
      <c r="H200" s="15">
        <f t="shared" si="5"/>
        <v>820</v>
      </c>
    </row>
    <row r="201" spans="1:8">
      <c r="A201" s="10">
        <v>45908</v>
      </c>
      <c r="B201" s="11" t="s">
        <v>8</v>
      </c>
      <c r="C201" s="12">
        <v>860</v>
      </c>
      <c r="D201" s="13">
        <v>244</v>
      </c>
      <c r="E201" s="12">
        <v>348686</v>
      </c>
      <c r="F201" s="14">
        <v>5.12</v>
      </c>
      <c r="G201" s="12">
        <v>11418</v>
      </c>
      <c r="H201" s="15">
        <f t="shared" si="5"/>
        <v>616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2AB0-8134-4939-A84A-C4B56D2863F4}">
  <dimension ref="A1:M201"/>
  <sheetViews>
    <sheetView tabSelected="1" topLeftCell="F1" workbookViewId="0">
      <selection activeCell="M12" sqref="M12"/>
    </sheetView>
  </sheetViews>
  <sheetFormatPr defaultRowHeight="14.4"/>
  <cols>
    <col min="1" max="1" width="17.88671875" bestFit="1" customWidth="1"/>
    <col min="2" max="2" width="9.6640625" bestFit="1" customWidth="1"/>
    <col min="3" max="3" width="16.109375" bestFit="1" customWidth="1"/>
    <col min="8" max="8" width="12.5546875" bestFit="1" customWidth="1"/>
    <col min="10" max="10" width="12.5546875" bestFit="1" customWidth="1"/>
    <col min="11" max="11" width="16.21875" bestFit="1" customWidth="1"/>
    <col min="12" max="12" width="17.88671875" bestFit="1" customWidth="1"/>
    <col min="13" max="13" width="10.33203125" bestFit="1" customWidth="1"/>
  </cols>
  <sheetData>
    <row r="1" spans="1:13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5" t="s">
        <v>5</v>
      </c>
      <c r="G1" s="3" t="s">
        <v>6</v>
      </c>
      <c r="H1" s="3" t="s">
        <v>17</v>
      </c>
    </row>
    <row r="2" spans="1:13">
      <c r="A2" s="10">
        <v>45446</v>
      </c>
      <c r="B2" s="11" t="s">
        <v>7</v>
      </c>
      <c r="C2" s="12">
        <v>1402</v>
      </c>
      <c r="D2" s="13">
        <v>68</v>
      </c>
      <c r="E2" s="12">
        <v>124562</v>
      </c>
      <c r="F2" s="14">
        <v>9.92</v>
      </c>
      <c r="G2" s="12">
        <v>23125</v>
      </c>
      <c r="H2" s="15">
        <f>C2-D2</f>
        <v>1334</v>
      </c>
      <c r="J2" s="6" t="s">
        <v>10</v>
      </c>
      <c r="K2" t="s">
        <v>16</v>
      </c>
      <c r="L2" t="s">
        <v>18</v>
      </c>
      <c r="M2" s="9" t="s">
        <v>19</v>
      </c>
    </row>
    <row r="3" spans="1:13">
      <c r="A3" s="10">
        <v>45446</v>
      </c>
      <c r="B3" s="11" t="s">
        <v>8</v>
      </c>
      <c r="C3" s="12">
        <v>995</v>
      </c>
      <c r="D3" s="13">
        <v>86</v>
      </c>
      <c r="E3" s="12">
        <v>227958</v>
      </c>
      <c r="F3" s="14">
        <v>8.0500000000000007</v>
      </c>
      <c r="G3" s="12">
        <v>22788</v>
      </c>
      <c r="H3" s="15">
        <f t="shared" ref="H3:H66" si="0">C3-D3</f>
        <v>909</v>
      </c>
      <c r="J3" s="7">
        <v>45446</v>
      </c>
      <c r="K3" s="8">
        <v>53723</v>
      </c>
      <c r="L3" s="8">
        <v>3419</v>
      </c>
      <c r="M3" s="17">
        <f>CORREL(K3:K69,L3:L69)</f>
        <v>0.1001175941200671</v>
      </c>
    </row>
    <row r="4" spans="1:13">
      <c r="A4" s="10">
        <v>45446</v>
      </c>
      <c r="B4" s="11" t="s">
        <v>9</v>
      </c>
      <c r="C4" s="12">
        <v>1472</v>
      </c>
      <c r="D4" s="13">
        <v>296</v>
      </c>
      <c r="E4" s="12">
        <v>370242</v>
      </c>
      <c r="F4" s="14">
        <v>7.72</v>
      </c>
      <c r="G4" s="12">
        <v>7810</v>
      </c>
      <c r="H4" s="15">
        <f t="shared" si="0"/>
        <v>1176</v>
      </c>
      <c r="J4" s="7">
        <v>45453</v>
      </c>
      <c r="K4" s="8">
        <v>60293</v>
      </c>
      <c r="L4" s="8">
        <v>2777</v>
      </c>
      <c r="M4" s="17">
        <f t="shared" ref="M4:M67" si="1">CORREL(K4:K70,L4:L70)</f>
        <v>0.99930746720773811</v>
      </c>
    </row>
    <row r="5" spans="1:13">
      <c r="A5" s="10">
        <v>45453</v>
      </c>
      <c r="B5" s="11" t="s">
        <v>7</v>
      </c>
      <c r="C5" s="12">
        <v>1018</v>
      </c>
      <c r="D5" s="13">
        <v>90</v>
      </c>
      <c r="E5" s="12">
        <v>92474</v>
      </c>
      <c r="F5" s="14">
        <v>9.4</v>
      </c>
      <c r="G5" s="12">
        <v>11966</v>
      </c>
      <c r="H5" s="15">
        <f t="shared" si="0"/>
        <v>928</v>
      </c>
      <c r="J5" s="7">
        <v>45460</v>
      </c>
      <c r="K5" s="8">
        <v>51908</v>
      </c>
      <c r="L5" s="8">
        <v>3175</v>
      </c>
      <c r="M5" s="17">
        <f t="shared" si="1"/>
        <v>0.99930855490790849</v>
      </c>
    </row>
    <row r="6" spans="1:13">
      <c r="A6" s="10">
        <v>45453</v>
      </c>
      <c r="B6" s="11" t="s">
        <v>8</v>
      </c>
      <c r="C6" s="12">
        <v>1461</v>
      </c>
      <c r="D6" s="13">
        <v>64</v>
      </c>
      <c r="E6" s="12">
        <v>328902</v>
      </c>
      <c r="F6" s="14">
        <v>9.02</v>
      </c>
      <c r="G6" s="12">
        <v>26298</v>
      </c>
      <c r="H6" s="15">
        <f t="shared" si="0"/>
        <v>1397</v>
      </c>
      <c r="J6" s="7">
        <v>45467</v>
      </c>
      <c r="K6" s="8">
        <v>57474</v>
      </c>
      <c r="L6" s="8">
        <v>2433</v>
      </c>
      <c r="M6" s="17">
        <f t="shared" si="1"/>
        <v>0.99931514730226723</v>
      </c>
    </row>
    <row r="7" spans="1:13">
      <c r="A7" s="10">
        <v>45453</v>
      </c>
      <c r="B7" s="11" t="s">
        <v>9</v>
      </c>
      <c r="C7" s="12">
        <v>545</v>
      </c>
      <c r="D7" s="13">
        <v>93</v>
      </c>
      <c r="E7" s="12">
        <v>391621</v>
      </c>
      <c r="F7" s="14">
        <v>9.9600000000000009</v>
      </c>
      <c r="G7" s="12">
        <v>22029</v>
      </c>
      <c r="H7" s="15">
        <f t="shared" si="0"/>
        <v>452</v>
      </c>
      <c r="J7" s="7">
        <v>45474</v>
      </c>
      <c r="K7" s="8">
        <v>52712</v>
      </c>
      <c r="L7" s="8">
        <v>2426</v>
      </c>
      <c r="M7" s="17">
        <f t="shared" si="1"/>
        <v>0.99931893068118316</v>
      </c>
    </row>
    <row r="8" spans="1:13">
      <c r="A8" s="10">
        <v>45460</v>
      </c>
      <c r="B8" s="11" t="s">
        <v>7</v>
      </c>
      <c r="C8" s="12">
        <v>881</v>
      </c>
      <c r="D8" s="13">
        <v>291</v>
      </c>
      <c r="E8" s="12">
        <v>95885</v>
      </c>
      <c r="F8" s="14">
        <v>5.29</v>
      </c>
      <c r="G8" s="12">
        <v>12391</v>
      </c>
      <c r="H8" s="15">
        <f t="shared" si="0"/>
        <v>590</v>
      </c>
      <c r="J8" s="7">
        <v>45481</v>
      </c>
      <c r="K8" s="8">
        <v>42020</v>
      </c>
      <c r="L8" s="8">
        <v>3155</v>
      </c>
      <c r="M8" s="17">
        <f t="shared" si="1"/>
        <v>0.99931970687918548</v>
      </c>
    </row>
    <row r="9" spans="1:13">
      <c r="A9" s="10">
        <v>45460</v>
      </c>
      <c r="B9" s="11" t="s">
        <v>8</v>
      </c>
      <c r="C9" s="12">
        <v>1414</v>
      </c>
      <c r="D9" s="13">
        <v>131</v>
      </c>
      <c r="E9" s="12">
        <v>245947</v>
      </c>
      <c r="F9" s="14">
        <v>8.3000000000000007</v>
      </c>
      <c r="G9" s="12">
        <v>14477</v>
      </c>
      <c r="H9" s="15">
        <f t="shared" si="0"/>
        <v>1283</v>
      </c>
      <c r="J9" s="7">
        <v>45488</v>
      </c>
      <c r="K9" s="8">
        <v>48627</v>
      </c>
      <c r="L9" s="8">
        <v>2369</v>
      </c>
      <c r="M9" s="17">
        <f t="shared" si="1"/>
        <v>0.99934197626648469</v>
      </c>
    </row>
    <row r="10" spans="1:13">
      <c r="A10" s="10">
        <v>45460</v>
      </c>
      <c r="B10" s="11" t="s">
        <v>9</v>
      </c>
      <c r="C10" s="12">
        <v>1472</v>
      </c>
      <c r="D10" s="13">
        <v>170</v>
      </c>
      <c r="E10" s="12">
        <v>250428</v>
      </c>
      <c r="F10" s="14">
        <v>4.66</v>
      </c>
      <c r="G10" s="12">
        <v>25040</v>
      </c>
      <c r="H10" s="15">
        <f t="shared" si="0"/>
        <v>1302</v>
      </c>
      <c r="J10" s="7">
        <v>45495</v>
      </c>
      <c r="K10" s="8">
        <v>48009</v>
      </c>
      <c r="L10" s="8">
        <v>2281</v>
      </c>
      <c r="M10" s="17">
        <f t="shared" si="1"/>
        <v>0.99934185764582795</v>
      </c>
    </row>
    <row r="11" spans="1:13">
      <c r="A11" s="10">
        <v>45467</v>
      </c>
      <c r="B11" s="11" t="s">
        <v>7</v>
      </c>
      <c r="C11" s="12">
        <v>809</v>
      </c>
      <c r="D11" s="13">
        <v>197</v>
      </c>
      <c r="E11" s="12">
        <v>87186</v>
      </c>
      <c r="F11" s="14">
        <v>9.48</v>
      </c>
      <c r="G11" s="12">
        <v>22619</v>
      </c>
      <c r="H11" s="15">
        <f t="shared" si="0"/>
        <v>612</v>
      </c>
      <c r="J11" s="7">
        <v>45502</v>
      </c>
      <c r="K11" s="8">
        <v>34912</v>
      </c>
      <c r="L11" s="8">
        <v>2132</v>
      </c>
      <c r="M11" s="17">
        <f t="shared" si="1"/>
        <v>0.999341914198006</v>
      </c>
    </row>
    <row r="12" spans="1:13">
      <c r="A12" s="10">
        <v>45467</v>
      </c>
      <c r="B12" s="11" t="s">
        <v>8</v>
      </c>
      <c r="C12" s="12">
        <v>1371</v>
      </c>
      <c r="D12" s="13">
        <v>250</v>
      </c>
      <c r="E12" s="12">
        <v>128620</v>
      </c>
      <c r="F12" s="14">
        <v>7.11</v>
      </c>
      <c r="G12" s="12">
        <v>12399</v>
      </c>
      <c r="H12" s="15">
        <f t="shared" si="0"/>
        <v>1121</v>
      </c>
      <c r="J12" s="7">
        <v>45509</v>
      </c>
      <c r="K12" s="8">
        <v>45349</v>
      </c>
      <c r="L12" s="8">
        <v>2693</v>
      </c>
      <c r="M12" s="17">
        <f t="shared" si="1"/>
        <v>0.99934488899927121</v>
      </c>
    </row>
    <row r="13" spans="1:13">
      <c r="A13" s="10">
        <v>45467</v>
      </c>
      <c r="B13" s="11" t="s">
        <v>9</v>
      </c>
      <c r="C13" s="12">
        <v>844</v>
      </c>
      <c r="D13" s="13">
        <v>144</v>
      </c>
      <c r="E13" s="12">
        <v>126015</v>
      </c>
      <c r="F13" s="14">
        <v>9.65</v>
      </c>
      <c r="G13" s="12">
        <v>22456</v>
      </c>
      <c r="H13" s="15">
        <f t="shared" si="0"/>
        <v>700</v>
      </c>
      <c r="J13" s="7">
        <v>45516</v>
      </c>
      <c r="K13" s="8">
        <v>24209</v>
      </c>
      <c r="L13" s="8">
        <v>3072</v>
      </c>
      <c r="M13" s="17">
        <f t="shared" si="1"/>
        <v>0.99934868416708578</v>
      </c>
    </row>
    <row r="14" spans="1:13">
      <c r="A14" s="10">
        <v>45474</v>
      </c>
      <c r="B14" s="11" t="s">
        <v>7</v>
      </c>
      <c r="C14" s="12">
        <v>786</v>
      </c>
      <c r="D14" s="13">
        <v>72</v>
      </c>
      <c r="E14" s="12">
        <v>178615</v>
      </c>
      <c r="F14" s="14">
        <v>5.43</v>
      </c>
      <c r="G14" s="12">
        <v>19328</v>
      </c>
      <c r="H14" s="15">
        <f t="shared" si="0"/>
        <v>714</v>
      </c>
      <c r="J14" s="7">
        <v>45523</v>
      </c>
      <c r="K14" s="8">
        <v>52127</v>
      </c>
      <c r="L14" s="8">
        <v>2300</v>
      </c>
      <c r="M14" s="17">
        <f t="shared" si="1"/>
        <v>0.99942141791105377</v>
      </c>
    </row>
    <row r="15" spans="1:13">
      <c r="A15" s="10">
        <v>45474</v>
      </c>
      <c r="B15" s="11" t="s">
        <v>8</v>
      </c>
      <c r="C15" s="12">
        <v>845</v>
      </c>
      <c r="D15" s="13">
        <v>250</v>
      </c>
      <c r="E15" s="12">
        <v>218228</v>
      </c>
      <c r="F15" s="14">
        <v>4.5199999999999996</v>
      </c>
      <c r="G15" s="12">
        <v>21107</v>
      </c>
      <c r="H15" s="15">
        <f t="shared" si="0"/>
        <v>595</v>
      </c>
      <c r="J15" s="7">
        <v>45530</v>
      </c>
      <c r="K15" s="8">
        <v>66319</v>
      </c>
      <c r="L15" s="8">
        <v>2450</v>
      </c>
      <c r="M15" s="17">
        <f t="shared" si="1"/>
        <v>0.99942252660411435</v>
      </c>
    </row>
    <row r="16" spans="1:13">
      <c r="A16" s="10">
        <v>45474</v>
      </c>
      <c r="B16" s="11" t="s">
        <v>9</v>
      </c>
      <c r="C16" s="12">
        <v>1218</v>
      </c>
      <c r="D16" s="13">
        <v>101</v>
      </c>
      <c r="E16" s="12">
        <v>300397</v>
      </c>
      <c r="F16" s="14">
        <v>4.33</v>
      </c>
      <c r="G16" s="12">
        <v>12277</v>
      </c>
      <c r="H16" s="15">
        <f t="shared" si="0"/>
        <v>1117</v>
      </c>
      <c r="J16" s="7">
        <v>45537</v>
      </c>
      <c r="K16" s="8">
        <v>55150</v>
      </c>
      <c r="L16" s="8">
        <v>2502</v>
      </c>
      <c r="M16" s="17">
        <f t="shared" si="1"/>
        <v>0.99943609018224289</v>
      </c>
    </row>
    <row r="17" spans="1:13">
      <c r="A17" s="10">
        <v>45481</v>
      </c>
      <c r="B17" s="11" t="s">
        <v>7</v>
      </c>
      <c r="C17" s="12">
        <v>797</v>
      </c>
      <c r="D17" s="13">
        <v>130</v>
      </c>
      <c r="E17" s="12">
        <v>340121</v>
      </c>
      <c r="F17" s="14">
        <v>8.52</v>
      </c>
      <c r="G17" s="12">
        <v>11684</v>
      </c>
      <c r="H17" s="15">
        <f t="shared" si="0"/>
        <v>667</v>
      </c>
      <c r="J17" s="7">
        <v>45544</v>
      </c>
      <c r="K17" s="8">
        <v>44141</v>
      </c>
      <c r="L17" s="8">
        <v>2630</v>
      </c>
      <c r="M17" s="17">
        <f t="shared" si="1"/>
        <v>0.99943692242053328</v>
      </c>
    </row>
    <row r="18" spans="1:13">
      <c r="A18" s="10">
        <v>45481</v>
      </c>
      <c r="B18" s="11" t="s">
        <v>8</v>
      </c>
      <c r="C18" s="12">
        <v>1471</v>
      </c>
      <c r="D18" s="13">
        <v>100</v>
      </c>
      <c r="E18" s="12">
        <v>76866</v>
      </c>
      <c r="F18" s="14">
        <v>8.5500000000000007</v>
      </c>
      <c r="G18" s="12">
        <v>14412</v>
      </c>
      <c r="H18" s="15">
        <f t="shared" si="0"/>
        <v>1371</v>
      </c>
      <c r="J18" s="7">
        <v>45551</v>
      </c>
      <c r="K18" s="8">
        <v>51007</v>
      </c>
      <c r="L18" s="8">
        <v>2162</v>
      </c>
      <c r="M18" s="17">
        <f t="shared" si="1"/>
        <v>0.99944100148554071</v>
      </c>
    </row>
    <row r="19" spans="1:13">
      <c r="A19" s="10">
        <v>45481</v>
      </c>
      <c r="B19" s="11" t="s">
        <v>9</v>
      </c>
      <c r="C19" s="12">
        <v>1253</v>
      </c>
      <c r="D19" s="13">
        <v>136</v>
      </c>
      <c r="E19" s="12">
        <v>193131</v>
      </c>
      <c r="F19" s="14">
        <v>7.99</v>
      </c>
      <c r="G19" s="12">
        <v>15924</v>
      </c>
      <c r="H19" s="15">
        <f t="shared" si="0"/>
        <v>1117</v>
      </c>
      <c r="J19" s="7">
        <v>45558</v>
      </c>
      <c r="K19" s="8">
        <v>61088</v>
      </c>
      <c r="L19" s="8">
        <v>2785</v>
      </c>
      <c r="M19" s="17">
        <f t="shared" si="1"/>
        <v>0.99944326556264462</v>
      </c>
    </row>
    <row r="20" spans="1:13">
      <c r="A20" s="10">
        <v>45488</v>
      </c>
      <c r="B20" s="11" t="s">
        <v>7</v>
      </c>
      <c r="C20" s="12">
        <v>616</v>
      </c>
      <c r="D20" s="13">
        <v>257</v>
      </c>
      <c r="E20" s="12">
        <v>169665</v>
      </c>
      <c r="F20" s="14">
        <v>6.31</v>
      </c>
      <c r="G20" s="12">
        <v>12390</v>
      </c>
      <c r="H20" s="15">
        <f t="shared" si="0"/>
        <v>359</v>
      </c>
      <c r="J20" s="7">
        <v>45565</v>
      </c>
      <c r="K20" s="8">
        <v>47808</v>
      </c>
      <c r="L20" s="8">
        <v>3151</v>
      </c>
      <c r="M20" s="17">
        <f t="shared" si="1"/>
        <v>0.99944428215068393</v>
      </c>
    </row>
    <row r="21" spans="1:13">
      <c r="A21" s="10">
        <v>45488</v>
      </c>
      <c r="B21" s="11" t="s">
        <v>8</v>
      </c>
      <c r="C21" s="12">
        <v>1308</v>
      </c>
      <c r="D21" s="13">
        <v>210</v>
      </c>
      <c r="E21" s="12">
        <v>263729</v>
      </c>
      <c r="F21" s="14">
        <v>8.5299999999999994</v>
      </c>
      <c r="G21" s="12">
        <v>25742</v>
      </c>
      <c r="H21" s="15">
        <f t="shared" si="0"/>
        <v>1098</v>
      </c>
      <c r="J21" s="7">
        <v>45572</v>
      </c>
      <c r="K21" s="8">
        <v>40791</v>
      </c>
      <c r="L21" s="8">
        <v>2338</v>
      </c>
      <c r="M21" s="17">
        <f t="shared" si="1"/>
        <v>0.99945693997393492</v>
      </c>
    </row>
    <row r="22" spans="1:13">
      <c r="A22" s="10">
        <v>45488</v>
      </c>
      <c r="B22" s="11" t="s">
        <v>9</v>
      </c>
      <c r="C22" s="12">
        <v>981</v>
      </c>
      <c r="D22" s="13">
        <v>69</v>
      </c>
      <c r="E22" s="12">
        <v>206921</v>
      </c>
      <c r="F22" s="14">
        <v>8.42</v>
      </c>
      <c r="G22" s="12">
        <v>10495</v>
      </c>
      <c r="H22" s="15">
        <f t="shared" si="0"/>
        <v>912</v>
      </c>
      <c r="J22" s="7">
        <v>45579</v>
      </c>
      <c r="K22" s="8">
        <v>42137</v>
      </c>
      <c r="L22" s="8">
        <v>2670</v>
      </c>
      <c r="M22" s="17">
        <f t="shared" si="1"/>
        <v>0.99945915734500124</v>
      </c>
    </row>
    <row r="23" spans="1:13">
      <c r="A23" s="10">
        <v>45495</v>
      </c>
      <c r="B23" s="11" t="s">
        <v>7</v>
      </c>
      <c r="C23" s="12">
        <v>866</v>
      </c>
      <c r="D23" s="13">
        <v>74</v>
      </c>
      <c r="E23" s="12">
        <v>204121</v>
      </c>
      <c r="F23" s="14">
        <v>9.34</v>
      </c>
      <c r="G23" s="12">
        <v>7797</v>
      </c>
      <c r="H23" s="15">
        <f t="shared" si="0"/>
        <v>792</v>
      </c>
      <c r="J23" s="7">
        <v>45586</v>
      </c>
      <c r="K23" s="8">
        <v>52390</v>
      </c>
      <c r="L23" s="8">
        <v>2792</v>
      </c>
      <c r="M23" s="17">
        <f t="shared" si="1"/>
        <v>0.99946677889425273</v>
      </c>
    </row>
    <row r="24" spans="1:13">
      <c r="A24" s="10">
        <v>45495</v>
      </c>
      <c r="B24" s="11" t="s">
        <v>8</v>
      </c>
      <c r="C24" s="12">
        <v>547</v>
      </c>
      <c r="D24" s="13">
        <v>183</v>
      </c>
      <c r="E24" s="12">
        <v>266350</v>
      </c>
      <c r="F24" s="14">
        <v>5.65</v>
      </c>
      <c r="G24" s="12">
        <v>15595</v>
      </c>
      <c r="H24" s="15">
        <f t="shared" si="0"/>
        <v>364</v>
      </c>
      <c r="J24" s="7">
        <v>45593</v>
      </c>
      <c r="K24" s="8">
        <v>75610</v>
      </c>
      <c r="L24" s="8">
        <v>2181</v>
      </c>
      <c r="M24" s="17">
        <f t="shared" si="1"/>
        <v>0.99946775108076957</v>
      </c>
    </row>
    <row r="25" spans="1:13">
      <c r="A25" s="10">
        <v>45495</v>
      </c>
      <c r="B25" s="11" t="s">
        <v>9</v>
      </c>
      <c r="C25" s="12">
        <v>1241</v>
      </c>
      <c r="D25" s="13">
        <v>116</v>
      </c>
      <c r="E25" s="12">
        <v>380606</v>
      </c>
      <c r="F25" s="14">
        <v>4.2</v>
      </c>
      <c r="G25" s="12">
        <v>24617</v>
      </c>
      <c r="H25" s="15">
        <f t="shared" si="0"/>
        <v>1125</v>
      </c>
      <c r="J25" s="7">
        <v>45600</v>
      </c>
      <c r="K25" s="8">
        <v>51694</v>
      </c>
      <c r="L25" s="8">
        <v>3576</v>
      </c>
      <c r="M25" s="17">
        <f t="shared" si="1"/>
        <v>0.99951606285407757</v>
      </c>
    </row>
    <row r="26" spans="1:13">
      <c r="A26" s="10">
        <v>45502</v>
      </c>
      <c r="B26" s="11" t="s">
        <v>7</v>
      </c>
      <c r="C26" s="12">
        <v>973</v>
      </c>
      <c r="D26" s="13">
        <v>104</v>
      </c>
      <c r="E26" s="12">
        <v>376358</v>
      </c>
      <c r="F26" s="14">
        <v>3.87</v>
      </c>
      <c r="G26" s="12">
        <v>9847</v>
      </c>
      <c r="H26" s="15">
        <f t="shared" si="0"/>
        <v>869</v>
      </c>
      <c r="J26" s="7">
        <v>45607</v>
      </c>
      <c r="K26" s="8">
        <v>51792</v>
      </c>
      <c r="L26" s="8">
        <v>2794</v>
      </c>
      <c r="M26" s="17">
        <f t="shared" si="1"/>
        <v>0.99953768173717372</v>
      </c>
    </row>
    <row r="27" spans="1:13">
      <c r="A27" s="10">
        <v>45502</v>
      </c>
      <c r="B27" s="11" t="s">
        <v>8</v>
      </c>
      <c r="C27" s="12">
        <v>611</v>
      </c>
      <c r="D27" s="13">
        <v>197</v>
      </c>
      <c r="E27" s="12">
        <v>79423</v>
      </c>
      <c r="F27" s="14">
        <v>5.82</v>
      </c>
      <c r="G27" s="12">
        <v>13644</v>
      </c>
      <c r="H27" s="15">
        <f t="shared" si="0"/>
        <v>414</v>
      </c>
      <c r="J27" s="7">
        <v>45614</v>
      </c>
      <c r="K27" s="8">
        <v>40181</v>
      </c>
      <c r="L27" s="8">
        <v>1935</v>
      </c>
      <c r="M27" s="17">
        <f t="shared" si="1"/>
        <v>0.99953893360398871</v>
      </c>
    </row>
    <row r="28" spans="1:13">
      <c r="A28" s="10">
        <v>45502</v>
      </c>
      <c r="B28" s="11" t="s">
        <v>9</v>
      </c>
      <c r="C28" s="12">
        <v>983</v>
      </c>
      <c r="D28" s="13">
        <v>134</v>
      </c>
      <c r="E28" s="12">
        <v>352178</v>
      </c>
      <c r="F28" s="14">
        <v>3.55</v>
      </c>
      <c r="G28" s="12">
        <v>11421</v>
      </c>
      <c r="H28" s="15">
        <f t="shared" si="0"/>
        <v>849</v>
      </c>
      <c r="J28" s="7">
        <v>45621</v>
      </c>
      <c r="K28" s="8">
        <v>35823</v>
      </c>
      <c r="L28" s="8">
        <v>2287</v>
      </c>
      <c r="M28" s="17">
        <f t="shared" si="1"/>
        <v>0.99953863774073293</v>
      </c>
    </row>
    <row r="29" spans="1:13">
      <c r="A29" s="10">
        <v>45509</v>
      </c>
      <c r="B29" s="11" t="s">
        <v>7</v>
      </c>
      <c r="C29" s="12">
        <v>1449</v>
      </c>
      <c r="D29" s="13">
        <v>96</v>
      </c>
      <c r="E29" s="12">
        <v>200636</v>
      </c>
      <c r="F29" s="14">
        <v>9.92</v>
      </c>
      <c r="G29" s="12">
        <v>15613</v>
      </c>
      <c r="H29" s="15">
        <f t="shared" si="0"/>
        <v>1353</v>
      </c>
      <c r="J29" s="7">
        <v>45628</v>
      </c>
      <c r="K29" s="8">
        <v>45124</v>
      </c>
      <c r="L29" s="8">
        <v>2383</v>
      </c>
      <c r="M29" s="17">
        <f t="shared" si="1"/>
        <v>0.99954496176847429</v>
      </c>
    </row>
    <row r="30" spans="1:13">
      <c r="A30" s="10">
        <v>45509</v>
      </c>
      <c r="B30" s="11" t="s">
        <v>8</v>
      </c>
      <c r="C30" s="12">
        <v>752</v>
      </c>
      <c r="D30" s="13">
        <v>170</v>
      </c>
      <c r="E30" s="12">
        <v>132756</v>
      </c>
      <c r="F30" s="14">
        <v>8.17</v>
      </c>
      <c r="G30" s="12">
        <v>23900</v>
      </c>
      <c r="H30" s="15">
        <f t="shared" si="0"/>
        <v>582</v>
      </c>
      <c r="J30" s="7">
        <v>45635</v>
      </c>
      <c r="K30" s="8">
        <v>59678</v>
      </c>
      <c r="L30" s="8">
        <v>1398</v>
      </c>
      <c r="M30" s="17">
        <f t="shared" si="1"/>
        <v>0.99954559154984113</v>
      </c>
    </row>
    <row r="31" spans="1:13">
      <c r="A31" s="10">
        <v>45509</v>
      </c>
      <c r="B31" s="11" t="s">
        <v>9</v>
      </c>
      <c r="C31" s="12">
        <v>937</v>
      </c>
      <c r="D31" s="13">
        <v>179</v>
      </c>
      <c r="E31" s="12">
        <v>318098</v>
      </c>
      <c r="F31" s="14">
        <v>5.3</v>
      </c>
      <c r="G31" s="12">
        <v>5836</v>
      </c>
      <c r="H31" s="15">
        <f t="shared" si="0"/>
        <v>758</v>
      </c>
      <c r="J31" s="7">
        <v>45642</v>
      </c>
      <c r="K31" s="8">
        <v>51493</v>
      </c>
      <c r="L31" s="8">
        <v>2693</v>
      </c>
      <c r="M31" s="17">
        <f t="shared" si="1"/>
        <v>0.99959206861062611</v>
      </c>
    </row>
    <row r="32" spans="1:13">
      <c r="A32" s="10">
        <v>45516</v>
      </c>
      <c r="B32" s="11" t="s">
        <v>7</v>
      </c>
      <c r="C32" s="12">
        <v>1060</v>
      </c>
      <c r="D32" s="13">
        <v>83</v>
      </c>
      <c r="E32" s="12">
        <v>68724</v>
      </c>
      <c r="F32" s="14">
        <v>5.98</v>
      </c>
      <c r="G32" s="12">
        <v>5624</v>
      </c>
      <c r="H32" s="15">
        <f t="shared" si="0"/>
        <v>977</v>
      </c>
      <c r="J32" s="7">
        <v>45649</v>
      </c>
      <c r="K32" s="8">
        <v>42747</v>
      </c>
      <c r="L32" s="8">
        <v>2550</v>
      </c>
      <c r="M32" s="17">
        <f t="shared" si="1"/>
        <v>0.9995924065301669</v>
      </c>
    </row>
    <row r="33" spans="1:13">
      <c r="A33" s="10">
        <v>45516</v>
      </c>
      <c r="B33" s="11" t="s">
        <v>8</v>
      </c>
      <c r="C33" s="12">
        <v>1456</v>
      </c>
      <c r="D33" s="13">
        <v>265</v>
      </c>
      <c r="E33" s="12">
        <v>115505</v>
      </c>
      <c r="F33" s="14">
        <v>7.49</v>
      </c>
      <c r="G33" s="12">
        <v>10311</v>
      </c>
      <c r="H33" s="15">
        <f t="shared" si="0"/>
        <v>1191</v>
      </c>
      <c r="J33" s="7">
        <v>45656</v>
      </c>
      <c r="K33" s="8">
        <v>44785</v>
      </c>
      <c r="L33" s="8">
        <v>2337</v>
      </c>
      <c r="M33" s="17">
        <f t="shared" si="1"/>
        <v>0.9995966384799061</v>
      </c>
    </row>
    <row r="34" spans="1:13">
      <c r="A34" s="10">
        <v>45516</v>
      </c>
      <c r="B34" s="11" t="s">
        <v>9</v>
      </c>
      <c r="C34" s="12">
        <v>1109</v>
      </c>
      <c r="D34" s="13">
        <v>205</v>
      </c>
      <c r="E34" s="12">
        <v>276722</v>
      </c>
      <c r="F34" s="14">
        <v>9.3800000000000008</v>
      </c>
      <c r="G34" s="12">
        <v>8274</v>
      </c>
      <c r="H34" s="15">
        <f t="shared" si="0"/>
        <v>904</v>
      </c>
      <c r="J34" s="7">
        <v>45663</v>
      </c>
      <c r="K34" s="8">
        <v>34533</v>
      </c>
      <c r="L34" s="8">
        <v>2451</v>
      </c>
      <c r="M34" s="17">
        <f t="shared" si="1"/>
        <v>0.99959689483837999</v>
      </c>
    </row>
    <row r="35" spans="1:13">
      <c r="A35" s="10">
        <v>45523</v>
      </c>
      <c r="B35" s="11" t="s">
        <v>7</v>
      </c>
      <c r="C35" s="12">
        <v>1002</v>
      </c>
      <c r="D35" s="13">
        <v>93</v>
      </c>
      <c r="E35" s="12">
        <v>353538</v>
      </c>
      <c r="F35" s="14">
        <v>5.84</v>
      </c>
      <c r="G35" s="12">
        <v>6031</v>
      </c>
      <c r="H35" s="15">
        <f t="shared" si="0"/>
        <v>909</v>
      </c>
      <c r="J35" s="7">
        <v>45670</v>
      </c>
      <c r="K35" s="8">
        <v>27644</v>
      </c>
      <c r="L35" s="8">
        <v>2341</v>
      </c>
      <c r="M35" s="17">
        <f t="shared" si="1"/>
        <v>0.99960978475837892</v>
      </c>
    </row>
    <row r="36" spans="1:13">
      <c r="A36" s="10">
        <v>45523</v>
      </c>
      <c r="B36" s="11" t="s">
        <v>8</v>
      </c>
      <c r="C36" s="12">
        <v>571</v>
      </c>
      <c r="D36" s="13">
        <v>189</v>
      </c>
      <c r="E36" s="12">
        <v>61445</v>
      </c>
      <c r="F36" s="14">
        <v>5.41</v>
      </c>
      <c r="G36" s="12">
        <v>27829</v>
      </c>
      <c r="H36" s="15">
        <f t="shared" si="0"/>
        <v>382</v>
      </c>
      <c r="J36" s="7">
        <v>45677</v>
      </c>
      <c r="K36" s="8">
        <v>42348</v>
      </c>
      <c r="L36" s="8">
        <v>1832</v>
      </c>
      <c r="M36" s="17">
        <f t="shared" si="1"/>
        <v>0.99963268166011821</v>
      </c>
    </row>
    <row r="37" spans="1:13">
      <c r="A37" s="10">
        <v>45523</v>
      </c>
      <c r="B37" s="11" t="s">
        <v>9</v>
      </c>
      <c r="C37" s="12">
        <v>1240</v>
      </c>
      <c r="D37" s="13">
        <v>231</v>
      </c>
      <c r="E37" s="12">
        <v>165035</v>
      </c>
      <c r="F37" s="14">
        <v>6.05</v>
      </c>
      <c r="G37" s="12">
        <v>18267</v>
      </c>
      <c r="H37" s="15">
        <f t="shared" si="0"/>
        <v>1009</v>
      </c>
      <c r="J37" s="7">
        <v>45684</v>
      </c>
      <c r="K37" s="8">
        <v>37127</v>
      </c>
      <c r="L37" s="8">
        <v>1928</v>
      </c>
      <c r="M37" s="17">
        <f t="shared" si="1"/>
        <v>0.99963285296498416</v>
      </c>
    </row>
    <row r="38" spans="1:13">
      <c r="A38" s="10">
        <v>45530</v>
      </c>
      <c r="B38" s="11" t="s">
        <v>7</v>
      </c>
      <c r="C38" s="12">
        <v>1154</v>
      </c>
      <c r="D38" s="13">
        <v>132</v>
      </c>
      <c r="E38" s="12">
        <v>194595</v>
      </c>
      <c r="F38" s="14">
        <v>7.54</v>
      </c>
      <c r="G38" s="12">
        <v>26624</v>
      </c>
      <c r="H38" s="15">
        <f t="shared" si="0"/>
        <v>1022</v>
      </c>
      <c r="J38" s="7">
        <v>45691</v>
      </c>
      <c r="K38" s="8">
        <v>56414</v>
      </c>
      <c r="L38" s="8">
        <v>1680</v>
      </c>
      <c r="M38" s="17">
        <f t="shared" si="1"/>
        <v>0.99963322797033904</v>
      </c>
    </row>
    <row r="39" spans="1:13">
      <c r="A39" s="10">
        <v>45530</v>
      </c>
      <c r="B39" s="11" t="s">
        <v>8</v>
      </c>
      <c r="C39" s="12">
        <v>537</v>
      </c>
      <c r="D39" s="13">
        <v>275</v>
      </c>
      <c r="E39" s="12">
        <v>236238</v>
      </c>
      <c r="F39" s="14">
        <v>5.87</v>
      </c>
      <c r="G39" s="12">
        <v>26644</v>
      </c>
      <c r="H39" s="15">
        <f t="shared" si="0"/>
        <v>262</v>
      </c>
      <c r="J39" s="7">
        <v>45698</v>
      </c>
      <c r="K39" s="8">
        <v>37927</v>
      </c>
      <c r="L39" s="8">
        <v>2361</v>
      </c>
      <c r="M39" s="17">
        <f t="shared" si="1"/>
        <v>0.99965464160844009</v>
      </c>
    </row>
    <row r="40" spans="1:13">
      <c r="A40" s="10">
        <v>45530</v>
      </c>
      <c r="B40" s="11" t="s">
        <v>9</v>
      </c>
      <c r="C40" s="12">
        <v>1456</v>
      </c>
      <c r="D40" s="13">
        <v>290</v>
      </c>
      <c r="E40" s="12">
        <v>271044</v>
      </c>
      <c r="F40" s="14">
        <v>7.17</v>
      </c>
      <c r="G40" s="12">
        <v>13051</v>
      </c>
      <c r="H40" s="15">
        <f t="shared" si="0"/>
        <v>1166</v>
      </c>
      <c r="J40" s="7">
        <v>45705</v>
      </c>
      <c r="K40" s="8">
        <v>43741</v>
      </c>
      <c r="L40" s="8">
        <v>1543</v>
      </c>
      <c r="M40" s="17">
        <f t="shared" si="1"/>
        <v>0.99966081576697408</v>
      </c>
    </row>
    <row r="41" spans="1:13">
      <c r="A41" s="10">
        <v>45537</v>
      </c>
      <c r="B41" s="11" t="s">
        <v>7</v>
      </c>
      <c r="C41" s="12">
        <v>721</v>
      </c>
      <c r="D41" s="13">
        <v>206</v>
      </c>
      <c r="E41" s="12">
        <v>334887</v>
      </c>
      <c r="F41" s="14">
        <v>6.05</v>
      </c>
      <c r="G41" s="12">
        <v>14217</v>
      </c>
      <c r="H41" s="15">
        <f t="shared" si="0"/>
        <v>515</v>
      </c>
      <c r="J41" s="7">
        <v>45712</v>
      </c>
      <c r="K41" s="8">
        <v>57395</v>
      </c>
      <c r="L41" s="8">
        <v>1713</v>
      </c>
      <c r="M41" s="17">
        <f t="shared" si="1"/>
        <v>0.99966635041715213</v>
      </c>
    </row>
    <row r="42" spans="1:13">
      <c r="A42" s="10">
        <v>45537</v>
      </c>
      <c r="B42" s="11" t="s">
        <v>8</v>
      </c>
      <c r="C42" s="12">
        <v>1098</v>
      </c>
      <c r="D42" s="13">
        <v>142</v>
      </c>
      <c r="E42" s="12">
        <v>359150</v>
      </c>
      <c r="F42" s="14">
        <v>7.51</v>
      </c>
      <c r="G42" s="12">
        <v>16385</v>
      </c>
      <c r="H42" s="15">
        <f t="shared" si="0"/>
        <v>956</v>
      </c>
      <c r="J42" s="7">
        <v>45719</v>
      </c>
      <c r="K42" s="8">
        <v>54434</v>
      </c>
      <c r="L42" s="8">
        <v>2763</v>
      </c>
      <c r="M42" s="17">
        <f t="shared" si="1"/>
        <v>0.99969004397028249</v>
      </c>
    </row>
    <row r="43" spans="1:13">
      <c r="A43" s="10">
        <v>45537</v>
      </c>
      <c r="B43" s="11" t="s">
        <v>9</v>
      </c>
      <c r="C43" s="12">
        <v>1096</v>
      </c>
      <c r="D43" s="13">
        <v>65</v>
      </c>
      <c r="E43" s="12">
        <v>358295</v>
      </c>
      <c r="F43" s="14">
        <v>7.66</v>
      </c>
      <c r="G43" s="12">
        <v>24548</v>
      </c>
      <c r="H43" s="15">
        <f t="shared" si="0"/>
        <v>1031</v>
      </c>
      <c r="J43" s="7">
        <v>45726</v>
      </c>
      <c r="K43" s="8">
        <v>59353</v>
      </c>
      <c r="L43" s="8">
        <v>2315</v>
      </c>
      <c r="M43" s="17">
        <f t="shared" si="1"/>
        <v>0.99968988188908159</v>
      </c>
    </row>
    <row r="44" spans="1:13">
      <c r="A44" s="10">
        <v>45544</v>
      </c>
      <c r="B44" s="11" t="s">
        <v>7</v>
      </c>
      <c r="C44" s="12">
        <v>912</v>
      </c>
      <c r="D44" s="13">
        <v>275</v>
      </c>
      <c r="E44" s="12">
        <v>368454</v>
      </c>
      <c r="F44" s="14">
        <v>6.03</v>
      </c>
      <c r="G44" s="12">
        <v>9195</v>
      </c>
      <c r="H44" s="15">
        <f t="shared" si="0"/>
        <v>637</v>
      </c>
      <c r="J44" s="7">
        <v>45733</v>
      </c>
      <c r="K44" s="8">
        <v>36312</v>
      </c>
      <c r="L44" s="8">
        <v>2188</v>
      </c>
      <c r="M44" s="17">
        <f t="shared" si="1"/>
        <v>0.99969711695536734</v>
      </c>
    </row>
    <row r="45" spans="1:13">
      <c r="A45" s="10">
        <v>45544</v>
      </c>
      <c r="B45" s="11" t="s">
        <v>8</v>
      </c>
      <c r="C45" s="12">
        <v>1430</v>
      </c>
      <c r="D45" s="13">
        <v>162</v>
      </c>
      <c r="E45" s="12">
        <v>269082</v>
      </c>
      <c r="F45" s="14">
        <v>3.4</v>
      </c>
      <c r="G45" s="12">
        <v>18071</v>
      </c>
      <c r="H45" s="15">
        <f t="shared" si="0"/>
        <v>1268</v>
      </c>
      <c r="J45" s="7">
        <v>45740</v>
      </c>
      <c r="K45" s="8">
        <v>44995</v>
      </c>
      <c r="L45" s="8">
        <v>2679</v>
      </c>
      <c r="M45" s="17">
        <f t="shared" si="1"/>
        <v>0.99970018326907573</v>
      </c>
    </row>
    <row r="46" spans="1:13">
      <c r="A46" s="10">
        <v>45544</v>
      </c>
      <c r="B46" s="11" t="s">
        <v>9</v>
      </c>
      <c r="C46" s="12">
        <v>854</v>
      </c>
      <c r="D46" s="13">
        <v>129</v>
      </c>
      <c r="E46" s="12">
        <v>310903</v>
      </c>
      <c r="F46" s="14">
        <v>7.83</v>
      </c>
      <c r="G46" s="12">
        <v>16875</v>
      </c>
      <c r="H46" s="15">
        <f t="shared" si="0"/>
        <v>725</v>
      </c>
      <c r="J46" s="7">
        <v>45747</v>
      </c>
      <c r="K46" s="8">
        <v>51236</v>
      </c>
      <c r="L46" s="8">
        <v>2781</v>
      </c>
      <c r="M46" s="17">
        <f t="shared" si="1"/>
        <v>0.99970464867848763</v>
      </c>
    </row>
    <row r="47" spans="1:13">
      <c r="A47" s="10">
        <v>45551</v>
      </c>
      <c r="B47" s="11" t="s">
        <v>7</v>
      </c>
      <c r="C47" s="12">
        <v>681</v>
      </c>
      <c r="D47" s="13">
        <v>210</v>
      </c>
      <c r="E47" s="12">
        <v>248581</v>
      </c>
      <c r="F47" s="14">
        <v>8.76</v>
      </c>
      <c r="G47" s="12">
        <v>9567</v>
      </c>
      <c r="H47" s="15">
        <f t="shared" si="0"/>
        <v>471</v>
      </c>
      <c r="J47" s="7">
        <v>45754</v>
      </c>
      <c r="K47" s="8">
        <v>54066</v>
      </c>
      <c r="L47" s="8">
        <v>3291</v>
      </c>
      <c r="M47" s="17">
        <f t="shared" si="1"/>
        <v>0.99970596847135429</v>
      </c>
    </row>
    <row r="48" spans="1:13">
      <c r="A48" s="10">
        <v>45551</v>
      </c>
      <c r="B48" s="11" t="s">
        <v>8</v>
      </c>
      <c r="C48" s="12">
        <v>1373</v>
      </c>
      <c r="D48" s="13">
        <v>82</v>
      </c>
      <c r="E48" s="12">
        <v>371015</v>
      </c>
      <c r="F48" s="14">
        <v>9.52</v>
      </c>
      <c r="G48" s="12">
        <v>20306</v>
      </c>
      <c r="H48" s="15">
        <f t="shared" si="0"/>
        <v>1291</v>
      </c>
      <c r="J48" s="7">
        <v>45761</v>
      </c>
      <c r="K48" s="8">
        <v>78882</v>
      </c>
      <c r="L48" s="8">
        <v>3216</v>
      </c>
      <c r="M48" s="17">
        <f t="shared" si="1"/>
        <v>0.99971513625482</v>
      </c>
    </row>
    <row r="49" spans="1:13">
      <c r="A49" s="10">
        <v>45551</v>
      </c>
      <c r="B49" s="11" t="s">
        <v>9</v>
      </c>
      <c r="C49" s="12">
        <v>685</v>
      </c>
      <c r="D49" s="13">
        <v>285</v>
      </c>
      <c r="E49" s="12">
        <v>177452</v>
      </c>
      <c r="F49" s="14">
        <v>3.36</v>
      </c>
      <c r="G49" s="12">
        <v>21134</v>
      </c>
      <c r="H49" s="15">
        <f t="shared" si="0"/>
        <v>400</v>
      </c>
      <c r="J49" s="7">
        <v>45768</v>
      </c>
      <c r="K49" s="8">
        <v>60429</v>
      </c>
      <c r="L49" s="8">
        <v>1728</v>
      </c>
      <c r="M49" s="17">
        <f t="shared" si="1"/>
        <v>0.99972314282256369</v>
      </c>
    </row>
    <row r="50" spans="1:13">
      <c r="A50" s="10">
        <v>45558</v>
      </c>
      <c r="B50" s="11" t="s">
        <v>7</v>
      </c>
      <c r="C50" s="12">
        <v>1290</v>
      </c>
      <c r="D50" s="13">
        <v>177</v>
      </c>
      <c r="E50" s="12">
        <v>80745</v>
      </c>
      <c r="F50" s="14">
        <v>9.2200000000000006</v>
      </c>
      <c r="G50" s="12">
        <v>26872</v>
      </c>
      <c r="H50" s="15">
        <f t="shared" si="0"/>
        <v>1113</v>
      </c>
      <c r="J50" s="7">
        <v>45775</v>
      </c>
      <c r="K50" s="8">
        <v>49246</v>
      </c>
      <c r="L50" s="8">
        <v>2378</v>
      </c>
      <c r="M50" s="17">
        <f t="shared" si="1"/>
        <v>0.99975447098700942</v>
      </c>
    </row>
    <row r="51" spans="1:13">
      <c r="A51" s="10">
        <v>45558</v>
      </c>
      <c r="B51" s="11" t="s">
        <v>8</v>
      </c>
      <c r="C51" s="12">
        <v>1437</v>
      </c>
      <c r="D51" s="13">
        <v>239</v>
      </c>
      <c r="E51" s="12">
        <v>362441</v>
      </c>
      <c r="F51" s="14">
        <v>5.57</v>
      </c>
      <c r="G51" s="12">
        <v>10253</v>
      </c>
      <c r="H51" s="15">
        <f t="shared" si="0"/>
        <v>1198</v>
      </c>
      <c r="J51" s="7">
        <v>45782</v>
      </c>
      <c r="K51" s="8">
        <v>34913</v>
      </c>
      <c r="L51" s="8">
        <v>2054</v>
      </c>
      <c r="M51" s="17">
        <f t="shared" si="1"/>
        <v>0.99975396486373469</v>
      </c>
    </row>
    <row r="52" spans="1:13">
      <c r="A52" s="10">
        <v>45558</v>
      </c>
      <c r="B52" s="11" t="s">
        <v>9</v>
      </c>
      <c r="C52" s="12">
        <v>769</v>
      </c>
      <c r="D52" s="13">
        <v>295</v>
      </c>
      <c r="E52" s="12">
        <v>344771</v>
      </c>
      <c r="F52" s="14">
        <v>8.06</v>
      </c>
      <c r="G52" s="12">
        <v>23963</v>
      </c>
      <c r="H52" s="15">
        <f t="shared" si="0"/>
        <v>474</v>
      </c>
      <c r="J52" s="7">
        <v>45789</v>
      </c>
      <c r="K52" s="8">
        <v>57847</v>
      </c>
      <c r="L52" s="8">
        <v>1400</v>
      </c>
      <c r="M52" s="17">
        <f t="shared" si="1"/>
        <v>0.99975563002796619</v>
      </c>
    </row>
    <row r="53" spans="1:13">
      <c r="A53" s="10">
        <v>45565</v>
      </c>
      <c r="B53" s="11" t="s">
        <v>7</v>
      </c>
      <c r="C53" s="12">
        <v>1416</v>
      </c>
      <c r="D53" s="13">
        <v>284</v>
      </c>
      <c r="E53" s="12">
        <v>374952</v>
      </c>
      <c r="F53" s="14">
        <v>3.45</v>
      </c>
      <c r="G53" s="12">
        <v>11335</v>
      </c>
      <c r="H53" s="15">
        <f t="shared" si="0"/>
        <v>1132</v>
      </c>
      <c r="J53" s="7">
        <v>45796</v>
      </c>
      <c r="K53" s="8">
        <v>49692</v>
      </c>
      <c r="L53" s="8">
        <v>3569</v>
      </c>
      <c r="M53" s="17">
        <f t="shared" si="1"/>
        <v>0.99980169888412995</v>
      </c>
    </row>
    <row r="54" spans="1:13">
      <c r="A54" s="10">
        <v>45565</v>
      </c>
      <c r="B54" s="11" t="s">
        <v>8</v>
      </c>
      <c r="C54" s="12">
        <v>998</v>
      </c>
      <c r="D54" s="13">
        <v>154</v>
      </c>
      <c r="E54" s="12">
        <v>179781</v>
      </c>
      <c r="F54" s="14">
        <v>9.58</v>
      </c>
      <c r="G54" s="12">
        <v>12115</v>
      </c>
      <c r="H54" s="15">
        <f t="shared" si="0"/>
        <v>844</v>
      </c>
      <c r="J54" s="7">
        <v>45803</v>
      </c>
      <c r="K54" s="8">
        <v>48399</v>
      </c>
      <c r="L54" s="8">
        <v>2909</v>
      </c>
      <c r="M54" s="17">
        <f t="shared" si="1"/>
        <v>0.99982498552505461</v>
      </c>
    </row>
    <row r="55" spans="1:13">
      <c r="A55" s="10">
        <v>45565</v>
      </c>
      <c r="B55" s="11" t="s">
        <v>9</v>
      </c>
      <c r="C55" s="12">
        <v>1421</v>
      </c>
      <c r="D55" s="13">
        <v>246</v>
      </c>
      <c r="E55" s="12">
        <v>358581</v>
      </c>
      <c r="F55" s="14">
        <v>8.8800000000000008</v>
      </c>
      <c r="G55" s="12">
        <v>24358</v>
      </c>
      <c r="H55" s="15">
        <f t="shared" si="0"/>
        <v>1175</v>
      </c>
      <c r="J55" s="7">
        <v>45810</v>
      </c>
      <c r="K55" s="8">
        <v>39516</v>
      </c>
      <c r="L55" s="8">
        <v>2049</v>
      </c>
      <c r="M55" s="17">
        <f t="shared" si="1"/>
        <v>0.99983008660197048</v>
      </c>
    </row>
    <row r="56" spans="1:13">
      <c r="A56" s="10">
        <v>45572</v>
      </c>
      <c r="B56" s="11" t="s">
        <v>7</v>
      </c>
      <c r="C56" s="12">
        <v>764</v>
      </c>
      <c r="D56" s="13">
        <v>205</v>
      </c>
      <c r="E56" s="12">
        <v>319294</v>
      </c>
      <c r="F56" s="14">
        <v>6.23</v>
      </c>
      <c r="G56" s="12">
        <v>12181</v>
      </c>
      <c r="H56" s="15">
        <f t="shared" si="0"/>
        <v>559</v>
      </c>
      <c r="J56" s="7">
        <v>45817</v>
      </c>
      <c r="K56" s="8">
        <v>40484</v>
      </c>
      <c r="L56" s="8">
        <v>2243</v>
      </c>
      <c r="M56" s="17">
        <f t="shared" si="1"/>
        <v>0.9998296570599724</v>
      </c>
    </row>
    <row r="57" spans="1:13">
      <c r="A57" s="10">
        <v>45572</v>
      </c>
      <c r="B57" s="11" t="s">
        <v>8</v>
      </c>
      <c r="C57" s="12">
        <v>678</v>
      </c>
      <c r="D57" s="13">
        <v>124</v>
      </c>
      <c r="E57" s="12">
        <v>192022</v>
      </c>
      <c r="F57" s="14">
        <v>8.4499999999999993</v>
      </c>
      <c r="G57" s="12">
        <v>17729</v>
      </c>
      <c r="H57" s="15">
        <f t="shared" si="0"/>
        <v>554</v>
      </c>
      <c r="J57" s="7">
        <v>45824</v>
      </c>
      <c r="K57" s="8">
        <v>38906</v>
      </c>
      <c r="L57" s="8">
        <v>2017</v>
      </c>
      <c r="M57" s="17">
        <f t="shared" si="1"/>
        <v>0.99983056247162039</v>
      </c>
    </row>
    <row r="58" spans="1:13">
      <c r="A58" s="10">
        <v>45572</v>
      </c>
      <c r="B58" s="11" t="s">
        <v>9</v>
      </c>
      <c r="C58" s="12">
        <v>1328</v>
      </c>
      <c r="D58" s="13">
        <v>103</v>
      </c>
      <c r="E58" s="12">
        <v>151462</v>
      </c>
      <c r="F58" s="14">
        <v>8.4</v>
      </c>
      <c r="G58" s="12">
        <v>10881</v>
      </c>
      <c r="H58" s="15">
        <f t="shared" si="0"/>
        <v>1225</v>
      </c>
      <c r="J58" s="7">
        <v>45831</v>
      </c>
      <c r="K58" s="8">
        <v>63317</v>
      </c>
      <c r="L58" s="8">
        <v>1384</v>
      </c>
      <c r="M58" s="17">
        <f t="shared" si="1"/>
        <v>0.99983006719074263</v>
      </c>
    </row>
    <row r="59" spans="1:13">
      <c r="A59" s="10">
        <v>45579</v>
      </c>
      <c r="B59" s="11" t="s">
        <v>7</v>
      </c>
      <c r="C59" s="12">
        <v>1161</v>
      </c>
      <c r="D59" s="13">
        <v>269</v>
      </c>
      <c r="E59" s="12">
        <v>188193</v>
      </c>
      <c r="F59" s="14">
        <v>7.34</v>
      </c>
      <c r="G59" s="12">
        <v>18576</v>
      </c>
      <c r="H59" s="15">
        <f t="shared" si="0"/>
        <v>892</v>
      </c>
      <c r="J59" s="7">
        <v>45838</v>
      </c>
      <c r="K59" s="8">
        <v>57969</v>
      </c>
      <c r="L59" s="8">
        <v>2315</v>
      </c>
      <c r="M59" s="17">
        <f t="shared" si="1"/>
        <v>0.99989593024293633</v>
      </c>
    </row>
    <row r="60" spans="1:13">
      <c r="A60" s="10">
        <v>45579</v>
      </c>
      <c r="B60" s="11" t="s">
        <v>8</v>
      </c>
      <c r="C60" s="12">
        <v>588</v>
      </c>
      <c r="D60" s="13">
        <v>52</v>
      </c>
      <c r="E60" s="12">
        <v>292040</v>
      </c>
      <c r="F60" s="14">
        <v>8.14</v>
      </c>
      <c r="G60" s="12">
        <v>9383</v>
      </c>
      <c r="H60" s="15">
        <f t="shared" si="0"/>
        <v>536</v>
      </c>
      <c r="J60" s="7">
        <v>45845</v>
      </c>
      <c r="K60" s="8">
        <v>32182</v>
      </c>
      <c r="L60" s="8">
        <v>2669</v>
      </c>
      <c r="M60" s="17">
        <f t="shared" si="1"/>
        <v>0.99990502918765067</v>
      </c>
    </row>
    <row r="61" spans="1:13">
      <c r="A61" s="10">
        <v>45579</v>
      </c>
      <c r="B61" s="11" t="s">
        <v>9</v>
      </c>
      <c r="C61" s="12">
        <v>1457</v>
      </c>
      <c r="D61" s="13">
        <v>215</v>
      </c>
      <c r="E61" s="12">
        <v>325325</v>
      </c>
      <c r="F61" s="14">
        <v>9.58</v>
      </c>
      <c r="G61" s="12">
        <v>14178</v>
      </c>
      <c r="H61" s="15">
        <f t="shared" si="0"/>
        <v>1242</v>
      </c>
      <c r="J61" s="7">
        <v>45852</v>
      </c>
      <c r="K61" s="8">
        <v>40815</v>
      </c>
      <c r="L61" s="8">
        <v>2654</v>
      </c>
      <c r="M61" s="17">
        <f t="shared" si="1"/>
        <v>0.99992551526025286</v>
      </c>
    </row>
    <row r="62" spans="1:13">
      <c r="A62" s="10">
        <v>45586</v>
      </c>
      <c r="B62" s="11" t="s">
        <v>7</v>
      </c>
      <c r="C62" s="12">
        <v>1190</v>
      </c>
      <c r="D62" s="13">
        <v>242</v>
      </c>
      <c r="E62" s="12">
        <v>86849</v>
      </c>
      <c r="F62" s="14">
        <v>8.06</v>
      </c>
      <c r="G62" s="12">
        <v>21254</v>
      </c>
      <c r="H62" s="15">
        <f t="shared" si="0"/>
        <v>948</v>
      </c>
      <c r="J62" s="7">
        <v>45859</v>
      </c>
      <c r="K62" s="8">
        <v>52043</v>
      </c>
      <c r="L62" s="8">
        <v>2694</v>
      </c>
      <c r="M62" s="17">
        <f t="shared" si="1"/>
        <v>0.99993342547112174</v>
      </c>
    </row>
    <row r="63" spans="1:13">
      <c r="A63" s="10">
        <v>45586</v>
      </c>
      <c r="B63" s="11" t="s">
        <v>8</v>
      </c>
      <c r="C63" s="12">
        <v>886</v>
      </c>
      <c r="D63" s="13">
        <v>124</v>
      </c>
      <c r="E63" s="12">
        <v>141161</v>
      </c>
      <c r="F63" s="14">
        <v>8.19</v>
      </c>
      <c r="G63" s="12">
        <v>14215</v>
      </c>
      <c r="H63" s="15">
        <f t="shared" si="0"/>
        <v>762</v>
      </c>
      <c r="J63" s="7">
        <v>45866</v>
      </c>
      <c r="K63" s="8">
        <v>59271</v>
      </c>
      <c r="L63" s="8">
        <v>3236</v>
      </c>
      <c r="M63" s="17">
        <f t="shared" si="1"/>
        <v>0.99993296569470536</v>
      </c>
    </row>
    <row r="64" spans="1:13">
      <c r="A64" s="10">
        <v>45586</v>
      </c>
      <c r="B64" s="11" t="s">
        <v>9</v>
      </c>
      <c r="C64" s="12">
        <v>1237</v>
      </c>
      <c r="D64" s="13">
        <v>155</v>
      </c>
      <c r="E64" s="12">
        <v>149916</v>
      </c>
      <c r="F64" s="14">
        <v>4.4800000000000004</v>
      </c>
      <c r="G64" s="12">
        <v>16921</v>
      </c>
      <c r="H64" s="15">
        <f t="shared" si="0"/>
        <v>1082</v>
      </c>
      <c r="J64" s="7">
        <v>45873</v>
      </c>
      <c r="K64" s="8">
        <v>48774</v>
      </c>
      <c r="L64" s="8">
        <v>1689</v>
      </c>
      <c r="M64" s="17">
        <f t="shared" si="1"/>
        <v>0.99993486909902796</v>
      </c>
    </row>
    <row r="65" spans="1:13">
      <c r="A65" s="10">
        <v>45593</v>
      </c>
      <c r="B65" s="11" t="s">
        <v>7</v>
      </c>
      <c r="C65" s="12">
        <v>1435</v>
      </c>
      <c r="D65" s="13">
        <v>261</v>
      </c>
      <c r="E65" s="12">
        <v>308533</v>
      </c>
      <c r="F65" s="14">
        <v>4.5199999999999996</v>
      </c>
      <c r="G65" s="12">
        <v>25130</v>
      </c>
      <c r="H65" s="15">
        <f t="shared" si="0"/>
        <v>1174</v>
      </c>
      <c r="J65" s="7">
        <v>45880</v>
      </c>
      <c r="K65" s="8">
        <v>37461</v>
      </c>
      <c r="L65" s="8">
        <v>2347</v>
      </c>
      <c r="M65" s="17">
        <f t="shared" si="1"/>
        <v>0.99994379443399928</v>
      </c>
    </row>
    <row r="66" spans="1:13">
      <c r="A66" s="10">
        <v>45593</v>
      </c>
      <c r="B66" s="11" t="s">
        <v>8</v>
      </c>
      <c r="C66" s="12">
        <v>746</v>
      </c>
      <c r="D66" s="13">
        <v>282</v>
      </c>
      <c r="E66" s="12">
        <v>293894</v>
      </c>
      <c r="F66" s="14">
        <v>5.42</v>
      </c>
      <c r="G66" s="12">
        <v>25537</v>
      </c>
      <c r="H66" s="15">
        <f t="shared" si="0"/>
        <v>464</v>
      </c>
      <c r="J66" s="7">
        <v>45887</v>
      </c>
      <c r="K66" s="8">
        <v>52726</v>
      </c>
      <c r="L66" s="8">
        <v>1819</v>
      </c>
      <c r="M66" s="17">
        <f t="shared" si="1"/>
        <v>0.99994870422293547</v>
      </c>
    </row>
    <row r="67" spans="1:13">
      <c r="A67" s="10">
        <v>45593</v>
      </c>
      <c r="B67" s="11" t="s">
        <v>9</v>
      </c>
      <c r="C67" s="12">
        <v>759</v>
      </c>
      <c r="D67" s="13">
        <v>216</v>
      </c>
      <c r="E67" s="12">
        <v>147656</v>
      </c>
      <c r="F67" s="14">
        <v>4.08</v>
      </c>
      <c r="G67" s="12">
        <v>24943</v>
      </c>
      <c r="H67" s="15">
        <f t="shared" ref="H67:H130" si="2">C67-D67</f>
        <v>543</v>
      </c>
      <c r="J67" s="7">
        <v>45894</v>
      </c>
      <c r="K67" s="8">
        <v>39009</v>
      </c>
      <c r="L67" s="8">
        <v>2646</v>
      </c>
      <c r="M67" s="17">
        <f t="shared" si="1"/>
        <v>0.99996183353441848</v>
      </c>
    </row>
    <row r="68" spans="1:13">
      <c r="A68" s="10">
        <v>45600</v>
      </c>
      <c r="B68" s="11" t="s">
        <v>7</v>
      </c>
      <c r="C68" s="12">
        <v>1437</v>
      </c>
      <c r="D68" s="13">
        <v>235</v>
      </c>
      <c r="E68" s="12">
        <v>326791</v>
      </c>
      <c r="F68" s="14">
        <v>4.0599999999999996</v>
      </c>
      <c r="G68" s="12">
        <v>14563</v>
      </c>
      <c r="H68" s="15">
        <f t="shared" si="2"/>
        <v>1202</v>
      </c>
      <c r="J68" s="7">
        <v>45901</v>
      </c>
      <c r="K68" s="8">
        <v>46102</v>
      </c>
      <c r="L68" s="8">
        <v>1424</v>
      </c>
      <c r="M68" s="17">
        <f t="shared" ref="M68:M70" si="3">CORREL(K68:K134,L68:L134)</f>
        <v>0.999972939210652</v>
      </c>
    </row>
    <row r="69" spans="1:13">
      <c r="A69" s="10">
        <v>45600</v>
      </c>
      <c r="B69" s="11" t="s">
        <v>8</v>
      </c>
      <c r="C69" s="12">
        <v>1463</v>
      </c>
      <c r="D69" s="13">
        <v>73</v>
      </c>
      <c r="E69" s="12">
        <v>348877</v>
      </c>
      <c r="F69" s="14">
        <v>9.91</v>
      </c>
      <c r="G69" s="12">
        <v>26273</v>
      </c>
      <c r="H69" s="15">
        <f t="shared" si="2"/>
        <v>1390</v>
      </c>
      <c r="J69" s="7">
        <v>45908</v>
      </c>
      <c r="K69" s="8">
        <v>19299</v>
      </c>
      <c r="L69" s="8">
        <v>1436</v>
      </c>
      <c r="M69" s="17">
        <f t="shared" si="3"/>
        <v>1</v>
      </c>
    </row>
    <row r="70" spans="1:13">
      <c r="A70" s="10">
        <v>45600</v>
      </c>
      <c r="B70" s="11" t="s">
        <v>9</v>
      </c>
      <c r="C70" s="12">
        <v>1208</v>
      </c>
      <c r="D70" s="13">
        <v>224</v>
      </c>
      <c r="E70" s="12">
        <v>122730</v>
      </c>
      <c r="F70" s="14">
        <v>8.7200000000000006</v>
      </c>
      <c r="G70" s="12">
        <v>10858</v>
      </c>
      <c r="H70" s="15">
        <f t="shared" si="2"/>
        <v>984</v>
      </c>
      <c r="J70" s="7" t="s">
        <v>11</v>
      </c>
      <c r="K70" s="8">
        <v>3215928</v>
      </c>
      <c r="L70" s="8">
        <v>161588</v>
      </c>
      <c r="M70" s="18" t="e">
        <f t="shared" si="3"/>
        <v>#DIV/0!</v>
      </c>
    </row>
    <row r="71" spans="1:13">
      <c r="A71" s="10">
        <v>45607</v>
      </c>
      <c r="B71" s="11" t="s">
        <v>7</v>
      </c>
      <c r="C71" s="12">
        <v>1391</v>
      </c>
      <c r="D71" s="13">
        <v>187</v>
      </c>
      <c r="E71" s="12">
        <v>306508</v>
      </c>
      <c r="F71" s="14">
        <v>8.3800000000000008</v>
      </c>
      <c r="G71" s="12">
        <v>25038</v>
      </c>
      <c r="H71" s="15">
        <f t="shared" si="2"/>
        <v>1204</v>
      </c>
    </row>
    <row r="72" spans="1:13">
      <c r="A72" s="10">
        <v>45607</v>
      </c>
      <c r="B72" s="11" t="s">
        <v>8</v>
      </c>
      <c r="C72" s="12">
        <v>655</v>
      </c>
      <c r="D72" s="13">
        <v>123</v>
      </c>
      <c r="E72" s="12">
        <v>202472</v>
      </c>
      <c r="F72" s="14">
        <v>7.56</v>
      </c>
      <c r="G72" s="12">
        <v>9092</v>
      </c>
      <c r="H72" s="15">
        <f t="shared" si="2"/>
        <v>532</v>
      </c>
    </row>
    <row r="73" spans="1:13">
      <c r="A73" s="10">
        <v>45607</v>
      </c>
      <c r="B73" s="11" t="s">
        <v>9</v>
      </c>
      <c r="C73" s="12">
        <v>1148</v>
      </c>
      <c r="D73" s="13">
        <v>90</v>
      </c>
      <c r="E73" s="12">
        <v>227249</v>
      </c>
      <c r="F73" s="14">
        <v>7.24</v>
      </c>
      <c r="G73" s="12">
        <v>17662</v>
      </c>
      <c r="H73" s="15">
        <f t="shared" si="2"/>
        <v>1058</v>
      </c>
    </row>
    <row r="74" spans="1:13">
      <c r="A74" s="10">
        <v>45614</v>
      </c>
      <c r="B74" s="11" t="s">
        <v>7</v>
      </c>
      <c r="C74" s="12">
        <v>946</v>
      </c>
      <c r="D74" s="13">
        <v>270</v>
      </c>
      <c r="E74" s="12">
        <v>246567</v>
      </c>
      <c r="F74" s="14">
        <v>4.53</v>
      </c>
      <c r="G74" s="12">
        <v>5924</v>
      </c>
      <c r="H74" s="15">
        <f t="shared" si="2"/>
        <v>676</v>
      </c>
    </row>
    <row r="75" spans="1:13">
      <c r="A75" s="10">
        <v>45614</v>
      </c>
      <c r="B75" s="11" t="s">
        <v>8</v>
      </c>
      <c r="C75" s="12">
        <v>791</v>
      </c>
      <c r="D75" s="13">
        <v>214</v>
      </c>
      <c r="E75" s="12">
        <v>114738</v>
      </c>
      <c r="F75" s="14">
        <v>6.62</v>
      </c>
      <c r="G75" s="12">
        <v>25347</v>
      </c>
      <c r="H75" s="15">
        <f t="shared" si="2"/>
        <v>577</v>
      </c>
    </row>
    <row r="76" spans="1:13">
      <c r="A76" s="10">
        <v>45614</v>
      </c>
      <c r="B76" s="11" t="s">
        <v>9</v>
      </c>
      <c r="C76" s="12">
        <v>793</v>
      </c>
      <c r="D76" s="13">
        <v>111</v>
      </c>
      <c r="E76" s="12">
        <v>333500</v>
      </c>
      <c r="F76" s="14">
        <v>6.36</v>
      </c>
      <c r="G76" s="12">
        <v>8910</v>
      </c>
      <c r="H76" s="15">
        <f t="shared" si="2"/>
        <v>682</v>
      </c>
    </row>
    <row r="77" spans="1:13">
      <c r="A77" s="10">
        <v>45621</v>
      </c>
      <c r="B77" s="11" t="s">
        <v>7</v>
      </c>
      <c r="C77" s="12">
        <v>663</v>
      </c>
      <c r="D77" s="13">
        <v>213</v>
      </c>
      <c r="E77" s="12">
        <v>352677</v>
      </c>
      <c r="F77" s="14">
        <v>9</v>
      </c>
      <c r="G77" s="12">
        <v>20438</v>
      </c>
      <c r="H77" s="15">
        <f t="shared" si="2"/>
        <v>450</v>
      </c>
    </row>
    <row r="78" spans="1:13">
      <c r="A78" s="10">
        <v>45621</v>
      </c>
      <c r="B78" s="11" t="s">
        <v>8</v>
      </c>
      <c r="C78" s="12">
        <v>954</v>
      </c>
      <c r="D78" s="13">
        <v>271</v>
      </c>
      <c r="E78" s="12">
        <v>160936</v>
      </c>
      <c r="F78" s="14">
        <v>8.83</v>
      </c>
      <c r="G78" s="12">
        <v>8760</v>
      </c>
      <c r="H78" s="15">
        <f t="shared" si="2"/>
        <v>683</v>
      </c>
    </row>
    <row r="79" spans="1:13">
      <c r="A79" s="10">
        <v>45621</v>
      </c>
      <c r="B79" s="11" t="s">
        <v>9</v>
      </c>
      <c r="C79" s="12">
        <v>1313</v>
      </c>
      <c r="D79" s="13">
        <v>159</v>
      </c>
      <c r="E79" s="12">
        <v>197183</v>
      </c>
      <c r="F79" s="14">
        <v>9.7100000000000009</v>
      </c>
      <c r="G79" s="12">
        <v>6625</v>
      </c>
      <c r="H79" s="15">
        <f t="shared" si="2"/>
        <v>1154</v>
      </c>
    </row>
    <row r="80" spans="1:13">
      <c r="A80" s="10">
        <v>45628</v>
      </c>
      <c r="B80" s="11" t="s">
        <v>7</v>
      </c>
      <c r="C80" s="12">
        <v>895</v>
      </c>
      <c r="D80" s="13">
        <v>87</v>
      </c>
      <c r="E80" s="12">
        <v>171271</v>
      </c>
      <c r="F80" s="14">
        <v>6.68</v>
      </c>
      <c r="G80" s="12">
        <v>23329</v>
      </c>
      <c r="H80" s="15">
        <f t="shared" si="2"/>
        <v>808</v>
      </c>
    </row>
    <row r="81" spans="1:8">
      <c r="A81" s="10">
        <v>45628</v>
      </c>
      <c r="B81" s="11" t="s">
        <v>8</v>
      </c>
      <c r="C81" s="12">
        <v>1027</v>
      </c>
      <c r="D81" s="13">
        <v>156</v>
      </c>
      <c r="E81" s="12">
        <v>111293</v>
      </c>
      <c r="F81" s="14">
        <v>5.51</v>
      </c>
      <c r="G81" s="12">
        <v>7299</v>
      </c>
      <c r="H81" s="15">
        <f t="shared" si="2"/>
        <v>871</v>
      </c>
    </row>
    <row r="82" spans="1:8">
      <c r="A82" s="10">
        <v>45628</v>
      </c>
      <c r="B82" s="11" t="s">
        <v>9</v>
      </c>
      <c r="C82" s="12">
        <v>990</v>
      </c>
      <c r="D82" s="13">
        <v>286</v>
      </c>
      <c r="E82" s="12">
        <v>351493</v>
      </c>
      <c r="F82" s="14">
        <v>7.97</v>
      </c>
      <c r="G82" s="12">
        <v>14496</v>
      </c>
      <c r="H82" s="15">
        <f t="shared" si="2"/>
        <v>704</v>
      </c>
    </row>
    <row r="83" spans="1:8">
      <c r="A83" s="10">
        <v>45635</v>
      </c>
      <c r="B83" s="11" t="s">
        <v>7</v>
      </c>
      <c r="C83" s="12">
        <v>875</v>
      </c>
      <c r="D83" s="13">
        <v>264</v>
      </c>
      <c r="E83" s="12">
        <v>345631</v>
      </c>
      <c r="F83" s="14">
        <v>9.18</v>
      </c>
      <c r="G83" s="12">
        <v>25703</v>
      </c>
      <c r="H83" s="15">
        <f t="shared" si="2"/>
        <v>611</v>
      </c>
    </row>
    <row r="84" spans="1:8">
      <c r="A84" s="10">
        <v>45635</v>
      </c>
      <c r="B84" s="11" t="s">
        <v>8</v>
      </c>
      <c r="C84" s="12">
        <v>599</v>
      </c>
      <c r="D84" s="13">
        <v>194</v>
      </c>
      <c r="E84" s="12">
        <v>105622</v>
      </c>
      <c r="F84" s="14">
        <v>6.44</v>
      </c>
      <c r="G84" s="12">
        <v>15108</v>
      </c>
      <c r="H84" s="15">
        <f t="shared" si="2"/>
        <v>405</v>
      </c>
    </row>
    <row r="85" spans="1:8">
      <c r="A85" s="10">
        <v>45635</v>
      </c>
      <c r="B85" s="11" t="s">
        <v>9</v>
      </c>
      <c r="C85" s="12">
        <v>630</v>
      </c>
      <c r="D85" s="13">
        <v>248</v>
      </c>
      <c r="E85" s="12">
        <v>119054</v>
      </c>
      <c r="F85" s="14">
        <v>5.0199999999999996</v>
      </c>
      <c r="G85" s="12">
        <v>18867</v>
      </c>
      <c r="H85" s="15">
        <f t="shared" si="2"/>
        <v>382</v>
      </c>
    </row>
    <row r="86" spans="1:8">
      <c r="A86" s="10">
        <v>45642</v>
      </c>
      <c r="B86" s="11" t="s">
        <v>7</v>
      </c>
      <c r="C86" s="12">
        <v>1350</v>
      </c>
      <c r="D86" s="13">
        <v>233</v>
      </c>
      <c r="E86" s="12">
        <v>171670</v>
      </c>
      <c r="F86" s="14">
        <v>4.53</v>
      </c>
      <c r="G86" s="12">
        <v>17574</v>
      </c>
      <c r="H86" s="15">
        <f t="shared" si="2"/>
        <v>1117</v>
      </c>
    </row>
    <row r="87" spans="1:8">
      <c r="A87" s="10">
        <v>45642</v>
      </c>
      <c r="B87" s="11" t="s">
        <v>8</v>
      </c>
      <c r="C87" s="12">
        <v>632</v>
      </c>
      <c r="D87" s="13">
        <v>155</v>
      </c>
      <c r="E87" s="12">
        <v>170432</v>
      </c>
      <c r="F87" s="14">
        <v>9.17</v>
      </c>
      <c r="G87" s="12">
        <v>12840</v>
      </c>
      <c r="H87" s="15">
        <f t="shared" si="2"/>
        <v>477</v>
      </c>
    </row>
    <row r="88" spans="1:8">
      <c r="A88" s="10">
        <v>45642</v>
      </c>
      <c r="B88" s="11" t="s">
        <v>9</v>
      </c>
      <c r="C88" s="12">
        <v>1182</v>
      </c>
      <c r="D88" s="13">
        <v>83</v>
      </c>
      <c r="E88" s="12">
        <v>140300</v>
      </c>
      <c r="F88" s="14">
        <v>3.27</v>
      </c>
      <c r="G88" s="12">
        <v>21079</v>
      </c>
      <c r="H88" s="15">
        <f t="shared" si="2"/>
        <v>1099</v>
      </c>
    </row>
    <row r="89" spans="1:8">
      <c r="A89" s="10">
        <v>45649</v>
      </c>
      <c r="B89" s="11" t="s">
        <v>7</v>
      </c>
      <c r="C89" s="12">
        <v>661</v>
      </c>
      <c r="D89" s="13">
        <v>94</v>
      </c>
      <c r="E89" s="12">
        <v>116538</v>
      </c>
      <c r="F89" s="14">
        <v>5.31</v>
      </c>
      <c r="G89" s="12">
        <v>23486</v>
      </c>
      <c r="H89" s="15">
        <f t="shared" si="2"/>
        <v>567</v>
      </c>
    </row>
    <row r="90" spans="1:8">
      <c r="A90" s="10">
        <v>45649</v>
      </c>
      <c r="B90" s="11" t="s">
        <v>8</v>
      </c>
      <c r="C90" s="12">
        <v>1360</v>
      </c>
      <c r="D90" s="13">
        <v>227</v>
      </c>
      <c r="E90" s="12">
        <v>176902</v>
      </c>
      <c r="F90" s="14">
        <v>6.03</v>
      </c>
      <c r="G90" s="12">
        <v>5960</v>
      </c>
      <c r="H90" s="15">
        <f t="shared" si="2"/>
        <v>1133</v>
      </c>
    </row>
    <row r="91" spans="1:8">
      <c r="A91" s="10">
        <v>45649</v>
      </c>
      <c r="B91" s="11" t="s">
        <v>9</v>
      </c>
      <c r="C91" s="12">
        <v>935</v>
      </c>
      <c r="D91" s="13">
        <v>85</v>
      </c>
      <c r="E91" s="12">
        <v>326821</v>
      </c>
      <c r="F91" s="14">
        <v>8.89</v>
      </c>
      <c r="G91" s="12">
        <v>13301</v>
      </c>
      <c r="H91" s="15">
        <f t="shared" si="2"/>
        <v>850</v>
      </c>
    </row>
    <row r="92" spans="1:8">
      <c r="A92" s="10">
        <v>45656</v>
      </c>
      <c r="B92" s="11" t="s">
        <v>7</v>
      </c>
      <c r="C92" s="12">
        <v>664</v>
      </c>
      <c r="D92" s="13">
        <v>251</v>
      </c>
      <c r="E92" s="12">
        <v>240598</v>
      </c>
      <c r="F92" s="14">
        <v>4.79</v>
      </c>
      <c r="G92" s="12">
        <v>10563</v>
      </c>
      <c r="H92" s="15">
        <f t="shared" si="2"/>
        <v>413</v>
      </c>
    </row>
    <row r="93" spans="1:8">
      <c r="A93" s="10">
        <v>45656</v>
      </c>
      <c r="B93" s="11" t="s">
        <v>8</v>
      </c>
      <c r="C93" s="12">
        <v>1490</v>
      </c>
      <c r="D93" s="13">
        <v>103</v>
      </c>
      <c r="E93" s="12">
        <v>373274</v>
      </c>
      <c r="F93" s="14">
        <v>4.8</v>
      </c>
      <c r="G93" s="12">
        <v>19949</v>
      </c>
      <c r="H93" s="15">
        <f t="shared" si="2"/>
        <v>1387</v>
      </c>
    </row>
    <row r="94" spans="1:8">
      <c r="A94" s="10">
        <v>45656</v>
      </c>
      <c r="B94" s="11" t="s">
        <v>9</v>
      </c>
      <c r="C94" s="12">
        <v>601</v>
      </c>
      <c r="D94" s="13">
        <v>64</v>
      </c>
      <c r="E94" s="12">
        <v>123272</v>
      </c>
      <c r="F94" s="14">
        <v>4.07</v>
      </c>
      <c r="G94" s="12">
        <v>14273</v>
      </c>
      <c r="H94" s="15">
        <f t="shared" si="2"/>
        <v>537</v>
      </c>
    </row>
    <row r="95" spans="1:8">
      <c r="A95" s="10">
        <v>45663</v>
      </c>
      <c r="B95" s="11" t="s">
        <v>7</v>
      </c>
      <c r="C95" s="12">
        <v>613</v>
      </c>
      <c r="D95" s="13">
        <v>170</v>
      </c>
      <c r="E95" s="12">
        <v>139266</v>
      </c>
      <c r="F95" s="14">
        <v>6.06</v>
      </c>
      <c r="G95" s="12">
        <v>9247</v>
      </c>
      <c r="H95" s="15">
        <f t="shared" si="2"/>
        <v>443</v>
      </c>
    </row>
    <row r="96" spans="1:8">
      <c r="A96" s="10">
        <v>45663</v>
      </c>
      <c r="B96" s="11" t="s">
        <v>8</v>
      </c>
      <c r="C96" s="12">
        <v>1340</v>
      </c>
      <c r="D96" s="13">
        <v>57</v>
      </c>
      <c r="E96" s="12">
        <v>155927</v>
      </c>
      <c r="F96" s="14">
        <v>7.79</v>
      </c>
      <c r="G96" s="12">
        <v>11972</v>
      </c>
      <c r="H96" s="15">
        <f t="shared" si="2"/>
        <v>1283</v>
      </c>
    </row>
    <row r="97" spans="1:8">
      <c r="A97" s="10">
        <v>45663</v>
      </c>
      <c r="B97" s="11" t="s">
        <v>9</v>
      </c>
      <c r="C97" s="12">
        <v>953</v>
      </c>
      <c r="D97" s="13">
        <v>228</v>
      </c>
      <c r="E97" s="12">
        <v>258398</v>
      </c>
      <c r="F97" s="14">
        <v>9.0500000000000007</v>
      </c>
      <c r="G97" s="12">
        <v>13314</v>
      </c>
      <c r="H97" s="15">
        <f t="shared" si="2"/>
        <v>725</v>
      </c>
    </row>
    <row r="98" spans="1:8">
      <c r="A98" s="10">
        <v>45670</v>
      </c>
      <c r="B98" s="11" t="s">
        <v>7</v>
      </c>
      <c r="C98" s="12">
        <v>532</v>
      </c>
      <c r="D98" s="13">
        <v>65</v>
      </c>
      <c r="E98" s="12">
        <v>338561</v>
      </c>
      <c r="F98" s="14">
        <v>3.5</v>
      </c>
      <c r="G98" s="12">
        <v>14749</v>
      </c>
      <c r="H98" s="15">
        <f t="shared" si="2"/>
        <v>467</v>
      </c>
    </row>
    <row r="99" spans="1:8">
      <c r="A99" s="10">
        <v>45670</v>
      </c>
      <c r="B99" s="11" t="s">
        <v>8</v>
      </c>
      <c r="C99" s="12">
        <v>1414</v>
      </c>
      <c r="D99" s="13">
        <v>60</v>
      </c>
      <c r="E99" s="12">
        <v>341856</v>
      </c>
      <c r="F99" s="14">
        <v>8.76</v>
      </c>
      <c r="G99" s="12">
        <v>6868</v>
      </c>
      <c r="H99" s="15">
        <f t="shared" si="2"/>
        <v>1354</v>
      </c>
    </row>
    <row r="100" spans="1:8">
      <c r="A100" s="10">
        <v>45670</v>
      </c>
      <c r="B100" s="11" t="s">
        <v>9</v>
      </c>
      <c r="C100" s="12">
        <v>685</v>
      </c>
      <c r="D100" s="13">
        <v>165</v>
      </c>
      <c r="E100" s="12">
        <v>175860</v>
      </c>
      <c r="F100" s="14">
        <v>6.26</v>
      </c>
      <c r="G100" s="12">
        <v>6027</v>
      </c>
      <c r="H100" s="15">
        <f t="shared" si="2"/>
        <v>520</v>
      </c>
    </row>
    <row r="101" spans="1:8">
      <c r="A101" s="10">
        <v>45677</v>
      </c>
      <c r="B101" s="11" t="s">
        <v>7</v>
      </c>
      <c r="C101" s="12">
        <v>601</v>
      </c>
      <c r="D101" s="13">
        <v>159</v>
      </c>
      <c r="E101" s="12">
        <v>327722</v>
      </c>
      <c r="F101" s="14">
        <v>3.33</v>
      </c>
      <c r="G101" s="12">
        <v>25267</v>
      </c>
      <c r="H101" s="15">
        <f t="shared" si="2"/>
        <v>442</v>
      </c>
    </row>
    <row r="102" spans="1:8">
      <c r="A102" s="10">
        <v>45677</v>
      </c>
      <c r="B102" s="11" t="s">
        <v>8</v>
      </c>
      <c r="C102" s="12">
        <v>841</v>
      </c>
      <c r="D102" s="13">
        <v>295</v>
      </c>
      <c r="E102" s="12">
        <v>271638</v>
      </c>
      <c r="F102" s="14">
        <v>9.15</v>
      </c>
      <c r="G102" s="12">
        <v>5900</v>
      </c>
      <c r="H102" s="15">
        <f t="shared" si="2"/>
        <v>546</v>
      </c>
    </row>
    <row r="103" spans="1:8">
      <c r="A103" s="10">
        <v>45677</v>
      </c>
      <c r="B103" s="11" t="s">
        <v>9</v>
      </c>
      <c r="C103" s="12">
        <v>1105</v>
      </c>
      <c r="D103" s="13">
        <v>261</v>
      </c>
      <c r="E103" s="12">
        <v>333851</v>
      </c>
      <c r="F103" s="14">
        <v>6.03</v>
      </c>
      <c r="G103" s="12">
        <v>11181</v>
      </c>
      <c r="H103" s="15">
        <f t="shared" si="2"/>
        <v>844</v>
      </c>
    </row>
    <row r="104" spans="1:8">
      <c r="A104" s="10">
        <v>45684</v>
      </c>
      <c r="B104" s="11" t="s">
        <v>7</v>
      </c>
      <c r="C104" s="12">
        <v>566</v>
      </c>
      <c r="D104" s="13">
        <v>225</v>
      </c>
      <c r="E104" s="12">
        <v>368984</v>
      </c>
      <c r="F104" s="14">
        <v>9.82</v>
      </c>
      <c r="G104" s="12">
        <v>9592</v>
      </c>
      <c r="H104" s="15">
        <f t="shared" si="2"/>
        <v>341</v>
      </c>
    </row>
    <row r="105" spans="1:8">
      <c r="A105" s="10">
        <v>45684</v>
      </c>
      <c r="B105" s="11" t="s">
        <v>8</v>
      </c>
      <c r="C105" s="12">
        <v>1149</v>
      </c>
      <c r="D105" s="13">
        <v>280</v>
      </c>
      <c r="E105" s="12">
        <v>167310</v>
      </c>
      <c r="F105" s="14">
        <v>3.7</v>
      </c>
      <c r="G105" s="12">
        <v>5291</v>
      </c>
      <c r="H105" s="15">
        <f t="shared" si="2"/>
        <v>869</v>
      </c>
    </row>
    <row r="106" spans="1:8">
      <c r="A106" s="10">
        <v>45684</v>
      </c>
      <c r="B106" s="11" t="s">
        <v>9</v>
      </c>
      <c r="C106" s="12">
        <v>819</v>
      </c>
      <c r="D106" s="13">
        <v>101</v>
      </c>
      <c r="E106" s="12">
        <v>194811</v>
      </c>
      <c r="F106" s="14">
        <v>3.35</v>
      </c>
      <c r="G106" s="12">
        <v>22244</v>
      </c>
      <c r="H106" s="15">
        <f t="shared" si="2"/>
        <v>718</v>
      </c>
    </row>
    <row r="107" spans="1:8">
      <c r="A107" s="10">
        <v>45691</v>
      </c>
      <c r="B107" s="11" t="s">
        <v>7</v>
      </c>
      <c r="C107" s="12">
        <v>795</v>
      </c>
      <c r="D107" s="13">
        <v>60</v>
      </c>
      <c r="E107" s="12">
        <v>314982</v>
      </c>
      <c r="F107" s="14">
        <v>7.31</v>
      </c>
      <c r="G107" s="12">
        <v>6824</v>
      </c>
      <c r="H107" s="15">
        <f t="shared" si="2"/>
        <v>735</v>
      </c>
    </row>
    <row r="108" spans="1:8">
      <c r="A108" s="10">
        <v>45691</v>
      </c>
      <c r="B108" s="11" t="s">
        <v>8</v>
      </c>
      <c r="C108" s="12">
        <v>681</v>
      </c>
      <c r="D108" s="13">
        <v>158</v>
      </c>
      <c r="E108" s="12">
        <v>75960</v>
      </c>
      <c r="F108" s="14">
        <v>3.13</v>
      </c>
      <c r="G108" s="12">
        <v>24112</v>
      </c>
      <c r="H108" s="15">
        <f t="shared" si="2"/>
        <v>523</v>
      </c>
    </row>
    <row r="109" spans="1:8">
      <c r="A109" s="10">
        <v>45691</v>
      </c>
      <c r="B109" s="11" t="s">
        <v>9</v>
      </c>
      <c r="C109" s="12">
        <v>534</v>
      </c>
      <c r="D109" s="13">
        <v>112</v>
      </c>
      <c r="E109" s="12">
        <v>360759</v>
      </c>
      <c r="F109" s="14">
        <v>4.8899999999999997</v>
      </c>
      <c r="G109" s="12">
        <v>25478</v>
      </c>
      <c r="H109" s="15">
        <f t="shared" si="2"/>
        <v>422</v>
      </c>
    </row>
    <row r="110" spans="1:8">
      <c r="A110" s="10">
        <v>45698</v>
      </c>
      <c r="B110" s="11" t="s">
        <v>7</v>
      </c>
      <c r="C110" s="12">
        <v>1066</v>
      </c>
      <c r="D110" s="13">
        <v>151</v>
      </c>
      <c r="E110" s="12">
        <v>297090</v>
      </c>
      <c r="F110" s="14">
        <v>8.6300000000000008</v>
      </c>
      <c r="G110" s="12">
        <v>11235</v>
      </c>
      <c r="H110" s="15">
        <f t="shared" si="2"/>
        <v>915</v>
      </c>
    </row>
    <row r="111" spans="1:8">
      <c r="A111" s="10">
        <v>45698</v>
      </c>
      <c r="B111" s="11" t="s">
        <v>8</v>
      </c>
      <c r="C111" s="12">
        <v>1270</v>
      </c>
      <c r="D111" s="13">
        <v>162</v>
      </c>
      <c r="E111" s="12">
        <v>92040</v>
      </c>
      <c r="F111" s="14">
        <v>8.0299999999999994</v>
      </c>
      <c r="G111" s="12">
        <v>6120</v>
      </c>
      <c r="H111" s="15">
        <f t="shared" si="2"/>
        <v>1108</v>
      </c>
    </row>
    <row r="112" spans="1:8">
      <c r="A112" s="10">
        <v>45698</v>
      </c>
      <c r="B112" s="11" t="s">
        <v>9</v>
      </c>
      <c r="C112" s="12">
        <v>536</v>
      </c>
      <c r="D112" s="13">
        <v>198</v>
      </c>
      <c r="E112" s="12">
        <v>174610</v>
      </c>
      <c r="F112" s="14">
        <v>7.85</v>
      </c>
      <c r="G112" s="12">
        <v>20572</v>
      </c>
      <c r="H112" s="15">
        <f t="shared" si="2"/>
        <v>338</v>
      </c>
    </row>
    <row r="113" spans="1:8">
      <c r="A113" s="10">
        <v>45705</v>
      </c>
      <c r="B113" s="11" t="s">
        <v>7</v>
      </c>
      <c r="C113" s="12">
        <v>819</v>
      </c>
      <c r="D113" s="13">
        <v>95</v>
      </c>
      <c r="E113" s="12">
        <v>177376</v>
      </c>
      <c r="F113" s="14">
        <v>6.12</v>
      </c>
      <c r="G113" s="12">
        <v>14975</v>
      </c>
      <c r="H113" s="15">
        <f t="shared" si="2"/>
        <v>724</v>
      </c>
    </row>
    <row r="114" spans="1:8">
      <c r="A114" s="10">
        <v>45705</v>
      </c>
      <c r="B114" s="11" t="s">
        <v>8</v>
      </c>
      <c r="C114" s="12">
        <v>681</v>
      </c>
      <c r="D114" s="13">
        <v>218</v>
      </c>
      <c r="E114" s="12">
        <v>198882</v>
      </c>
      <c r="F114" s="14">
        <v>7.16</v>
      </c>
      <c r="G114" s="12">
        <v>22234</v>
      </c>
      <c r="H114" s="15">
        <f t="shared" si="2"/>
        <v>463</v>
      </c>
    </row>
    <row r="115" spans="1:8">
      <c r="A115" s="10">
        <v>45705</v>
      </c>
      <c r="B115" s="11" t="s">
        <v>9</v>
      </c>
      <c r="C115" s="12">
        <v>646</v>
      </c>
      <c r="D115" s="13">
        <v>290</v>
      </c>
      <c r="E115" s="12">
        <v>336383</v>
      </c>
      <c r="F115" s="14">
        <v>7.04</v>
      </c>
      <c r="G115" s="12">
        <v>6532</v>
      </c>
      <c r="H115" s="15">
        <f t="shared" si="2"/>
        <v>356</v>
      </c>
    </row>
    <row r="116" spans="1:8">
      <c r="A116" s="10">
        <v>45712</v>
      </c>
      <c r="B116" s="11" t="s">
        <v>7</v>
      </c>
      <c r="C116" s="12">
        <v>645</v>
      </c>
      <c r="D116" s="13">
        <v>267</v>
      </c>
      <c r="E116" s="12">
        <v>346890</v>
      </c>
      <c r="F116" s="14">
        <v>3.71</v>
      </c>
      <c r="G116" s="12">
        <v>24858</v>
      </c>
      <c r="H116" s="15">
        <f t="shared" si="2"/>
        <v>378</v>
      </c>
    </row>
    <row r="117" spans="1:8">
      <c r="A117" s="10">
        <v>45712</v>
      </c>
      <c r="B117" s="11" t="s">
        <v>8</v>
      </c>
      <c r="C117" s="12">
        <v>886</v>
      </c>
      <c r="D117" s="13">
        <v>250</v>
      </c>
      <c r="E117" s="12">
        <v>168170</v>
      </c>
      <c r="F117" s="14">
        <v>4.12</v>
      </c>
      <c r="G117" s="12">
        <v>13883</v>
      </c>
      <c r="H117" s="15">
        <f t="shared" si="2"/>
        <v>636</v>
      </c>
    </row>
    <row r="118" spans="1:8">
      <c r="A118" s="10">
        <v>45712</v>
      </c>
      <c r="B118" s="11" t="s">
        <v>9</v>
      </c>
      <c r="C118" s="12">
        <v>978</v>
      </c>
      <c r="D118" s="13">
        <v>279</v>
      </c>
      <c r="E118" s="12">
        <v>368872</v>
      </c>
      <c r="F118" s="14">
        <v>6.82</v>
      </c>
      <c r="G118" s="12">
        <v>18654</v>
      </c>
      <c r="H118" s="15">
        <f t="shared" si="2"/>
        <v>699</v>
      </c>
    </row>
    <row r="119" spans="1:8">
      <c r="A119" s="10">
        <v>45719</v>
      </c>
      <c r="B119" s="11" t="s">
        <v>7</v>
      </c>
      <c r="C119" s="12">
        <v>1444</v>
      </c>
      <c r="D119" s="13">
        <v>165</v>
      </c>
      <c r="E119" s="12">
        <v>116436</v>
      </c>
      <c r="F119" s="14">
        <v>8.2200000000000006</v>
      </c>
      <c r="G119" s="12">
        <v>25234</v>
      </c>
      <c r="H119" s="15">
        <f t="shared" si="2"/>
        <v>1279</v>
      </c>
    </row>
    <row r="120" spans="1:8">
      <c r="A120" s="10">
        <v>45719</v>
      </c>
      <c r="B120" s="11" t="s">
        <v>8</v>
      </c>
      <c r="C120" s="12">
        <v>1234</v>
      </c>
      <c r="D120" s="13">
        <v>228</v>
      </c>
      <c r="E120" s="12">
        <v>127502</v>
      </c>
      <c r="F120" s="14">
        <v>7.71</v>
      </c>
      <c r="G120" s="12">
        <v>6772</v>
      </c>
      <c r="H120" s="15">
        <f t="shared" si="2"/>
        <v>1006</v>
      </c>
    </row>
    <row r="121" spans="1:8">
      <c r="A121" s="10">
        <v>45719</v>
      </c>
      <c r="B121" s="11" t="s">
        <v>9</v>
      </c>
      <c r="C121" s="12">
        <v>665</v>
      </c>
      <c r="D121" s="13">
        <v>187</v>
      </c>
      <c r="E121" s="12">
        <v>274567</v>
      </c>
      <c r="F121" s="14">
        <v>7.39</v>
      </c>
      <c r="G121" s="12">
        <v>22428</v>
      </c>
      <c r="H121" s="15">
        <f t="shared" si="2"/>
        <v>478</v>
      </c>
    </row>
    <row r="122" spans="1:8">
      <c r="A122" s="10">
        <v>45726</v>
      </c>
      <c r="B122" s="11" t="s">
        <v>7</v>
      </c>
      <c r="C122" s="12">
        <v>631</v>
      </c>
      <c r="D122" s="13">
        <v>86</v>
      </c>
      <c r="E122" s="12">
        <v>295090</v>
      </c>
      <c r="F122" s="14">
        <v>7.89</v>
      </c>
      <c r="G122" s="12">
        <v>11911</v>
      </c>
      <c r="H122" s="15">
        <f t="shared" si="2"/>
        <v>545</v>
      </c>
    </row>
    <row r="123" spans="1:8">
      <c r="A123" s="10">
        <v>45726</v>
      </c>
      <c r="B123" s="11" t="s">
        <v>8</v>
      </c>
      <c r="C123" s="12">
        <v>1159</v>
      </c>
      <c r="D123" s="13">
        <v>154</v>
      </c>
      <c r="E123" s="12">
        <v>194994</v>
      </c>
      <c r="F123" s="14">
        <v>6.39</v>
      </c>
      <c r="G123" s="12">
        <v>21900</v>
      </c>
      <c r="H123" s="15">
        <f t="shared" si="2"/>
        <v>1005</v>
      </c>
    </row>
    <row r="124" spans="1:8">
      <c r="A124" s="10">
        <v>45726</v>
      </c>
      <c r="B124" s="11" t="s">
        <v>9</v>
      </c>
      <c r="C124" s="12">
        <v>950</v>
      </c>
      <c r="D124" s="13">
        <v>185</v>
      </c>
      <c r="E124" s="12">
        <v>340750</v>
      </c>
      <c r="F124" s="14">
        <v>6.77</v>
      </c>
      <c r="G124" s="12">
        <v>25542</v>
      </c>
      <c r="H124" s="15">
        <f t="shared" si="2"/>
        <v>765</v>
      </c>
    </row>
    <row r="125" spans="1:8">
      <c r="A125" s="10">
        <v>45733</v>
      </c>
      <c r="B125" s="11" t="s">
        <v>7</v>
      </c>
      <c r="C125" s="12">
        <v>693</v>
      </c>
      <c r="D125" s="13">
        <v>129</v>
      </c>
      <c r="E125" s="12">
        <v>296031</v>
      </c>
      <c r="F125" s="14">
        <v>3.41</v>
      </c>
      <c r="G125" s="12">
        <v>7140</v>
      </c>
      <c r="H125" s="15">
        <f t="shared" si="2"/>
        <v>564</v>
      </c>
    </row>
    <row r="126" spans="1:8">
      <c r="A126" s="10">
        <v>45733</v>
      </c>
      <c r="B126" s="11" t="s">
        <v>8</v>
      </c>
      <c r="C126" s="12">
        <v>576</v>
      </c>
      <c r="D126" s="13">
        <v>80</v>
      </c>
      <c r="E126" s="12">
        <v>345688</v>
      </c>
      <c r="F126" s="14">
        <v>4.1100000000000003</v>
      </c>
      <c r="G126" s="12">
        <v>20474</v>
      </c>
      <c r="H126" s="15">
        <f t="shared" si="2"/>
        <v>496</v>
      </c>
    </row>
    <row r="127" spans="1:8">
      <c r="A127" s="10">
        <v>45733</v>
      </c>
      <c r="B127" s="11" t="s">
        <v>9</v>
      </c>
      <c r="C127" s="12">
        <v>1274</v>
      </c>
      <c r="D127" s="13">
        <v>146</v>
      </c>
      <c r="E127" s="12">
        <v>263488</v>
      </c>
      <c r="F127" s="14">
        <v>9.58</v>
      </c>
      <c r="G127" s="12">
        <v>8698</v>
      </c>
      <c r="H127" s="15">
        <f t="shared" si="2"/>
        <v>1128</v>
      </c>
    </row>
    <row r="128" spans="1:8">
      <c r="A128" s="10">
        <v>45740</v>
      </c>
      <c r="B128" s="11" t="s">
        <v>7</v>
      </c>
      <c r="C128" s="12">
        <v>818</v>
      </c>
      <c r="D128" s="13">
        <v>253</v>
      </c>
      <c r="E128" s="12">
        <v>184911</v>
      </c>
      <c r="F128" s="14">
        <v>3.39</v>
      </c>
      <c r="G128" s="12">
        <v>10402</v>
      </c>
      <c r="H128" s="15">
        <f t="shared" si="2"/>
        <v>565</v>
      </c>
    </row>
    <row r="129" spans="1:8">
      <c r="A129" s="10">
        <v>45740</v>
      </c>
      <c r="B129" s="11" t="s">
        <v>8</v>
      </c>
      <c r="C129" s="12">
        <v>975</v>
      </c>
      <c r="D129" s="13">
        <v>162</v>
      </c>
      <c r="E129" s="12">
        <v>124497</v>
      </c>
      <c r="F129" s="14">
        <v>9.58</v>
      </c>
      <c r="G129" s="12">
        <v>26618</v>
      </c>
      <c r="H129" s="15">
        <f t="shared" si="2"/>
        <v>813</v>
      </c>
    </row>
    <row r="130" spans="1:8">
      <c r="A130" s="10">
        <v>45740</v>
      </c>
      <c r="B130" s="11" t="s">
        <v>9</v>
      </c>
      <c r="C130" s="12">
        <v>1398</v>
      </c>
      <c r="D130" s="13">
        <v>97</v>
      </c>
      <c r="E130" s="12">
        <v>397607</v>
      </c>
      <c r="F130" s="14">
        <v>5.09</v>
      </c>
      <c r="G130" s="12">
        <v>7975</v>
      </c>
      <c r="H130" s="15">
        <f t="shared" si="2"/>
        <v>1301</v>
      </c>
    </row>
    <row r="131" spans="1:8">
      <c r="A131" s="10">
        <v>45747</v>
      </c>
      <c r="B131" s="11" t="s">
        <v>7</v>
      </c>
      <c r="C131" s="12">
        <v>591</v>
      </c>
      <c r="D131" s="13">
        <v>155</v>
      </c>
      <c r="E131" s="12">
        <v>138521</v>
      </c>
      <c r="F131" s="14">
        <v>7.85</v>
      </c>
      <c r="G131" s="12">
        <v>19054</v>
      </c>
      <c r="H131" s="15">
        <f t="shared" ref="H131:H194" si="4">C131-D131</f>
        <v>436</v>
      </c>
    </row>
    <row r="132" spans="1:8">
      <c r="A132" s="10">
        <v>45747</v>
      </c>
      <c r="B132" s="11" t="s">
        <v>8</v>
      </c>
      <c r="C132" s="12">
        <v>1232</v>
      </c>
      <c r="D132" s="13">
        <v>254</v>
      </c>
      <c r="E132" s="12">
        <v>107718</v>
      </c>
      <c r="F132" s="14">
        <v>9.7100000000000009</v>
      </c>
      <c r="G132" s="12">
        <v>13740</v>
      </c>
      <c r="H132" s="15">
        <f t="shared" si="4"/>
        <v>978</v>
      </c>
    </row>
    <row r="133" spans="1:8">
      <c r="A133" s="10">
        <v>45747</v>
      </c>
      <c r="B133" s="11" t="s">
        <v>9</v>
      </c>
      <c r="C133" s="12">
        <v>1425</v>
      </c>
      <c r="D133" s="13">
        <v>58</v>
      </c>
      <c r="E133" s="12">
        <v>202234</v>
      </c>
      <c r="F133" s="14">
        <v>6.67</v>
      </c>
      <c r="G133" s="12">
        <v>18442</v>
      </c>
      <c r="H133" s="15">
        <f t="shared" si="4"/>
        <v>1367</v>
      </c>
    </row>
    <row r="134" spans="1:8">
      <c r="A134" s="10">
        <v>45754</v>
      </c>
      <c r="B134" s="11" t="s">
        <v>7</v>
      </c>
      <c r="C134" s="12">
        <v>1417</v>
      </c>
      <c r="D134" s="13">
        <v>80</v>
      </c>
      <c r="E134" s="12">
        <v>340987</v>
      </c>
      <c r="F134" s="14">
        <v>6.13</v>
      </c>
      <c r="G134" s="12">
        <v>10104</v>
      </c>
      <c r="H134" s="15">
        <f t="shared" si="4"/>
        <v>1337</v>
      </c>
    </row>
    <row r="135" spans="1:8">
      <c r="A135" s="10">
        <v>45754</v>
      </c>
      <c r="B135" s="11" t="s">
        <v>8</v>
      </c>
      <c r="C135" s="12">
        <v>1222</v>
      </c>
      <c r="D135" s="13">
        <v>208</v>
      </c>
      <c r="E135" s="12">
        <v>340098</v>
      </c>
      <c r="F135" s="14">
        <v>7.34</v>
      </c>
      <c r="G135" s="12">
        <v>21771</v>
      </c>
      <c r="H135" s="15">
        <f t="shared" si="4"/>
        <v>1014</v>
      </c>
    </row>
    <row r="136" spans="1:8">
      <c r="A136" s="10">
        <v>45754</v>
      </c>
      <c r="B136" s="11" t="s">
        <v>9</v>
      </c>
      <c r="C136" s="12">
        <v>1071</v>
      </c>
      <c r="D136" s="13">
        <v>131</v>
      </c>
      <c r="E136" s="12">
        <v>254727</v>
      </c>
      <c r="F136" s="14">
        <v>6.87</v>
      </c>
      <c r="G136" s="12">
        <v>22191</v>
      </c>
      <c r="H136" s="15">
        <f t="shared" si="4"/>
        <v>940</v>
      </c>
    </row>
    <row r="137" spans="1:8">
      <c r="A137" s="10">
        <v>45761</v>
      </c>
      <c r="B137" s="11" t="s">
        <v>7</v>
      </c>
      <c r="C137" s="12">
        <v>772</v>
      </c>
      <c r="D137" s="13">
        <v>82</v>
      </c>
      <c r="E137" s="12">
        <v>345659</v>
      </c>
      <c r="F137" s="14">
        <v>3.52</v>
      </c>
      <c r="G137" s="12">
        <v>27753</v>
      </c>
      <c r="H137" s="15">
        <f t="shared" si="4"/>
        <v>690</v>
      </c>
    </row>
    <row r="138" spans="1:8">
      <c r="A138" s="10">
        <v>45761</v>
      </c>
      <c r="B138" s="11" t="s">
        <v>8</v>
      </c>
      <c r="C138" s="12">
        <v>1472</v>
      </c>
      <c r="D138" s="13">
        <v>137</v>
      </c>
      <c r="E138" s="12">
        <v>213950</v>
      </c>
      <c r="F138" s="14">
        <v>6.96</v>
      </c>
      <c r="G138" s="12">
        <v>23736</v>
      </c>
      <c r="H138" s="15">
        <f t="shared" si="4"/>
        <v>1335</v>
      </c>
    </row>
    <row r="139" spans="1:8">
      <c r="A139" s="10">
        <v>45761</v>
      </c>
      <c r="B139" s="11" t="s">
        <v>9</v>
      </c>
      <c r="C139" s="12">
        <v>1472</v>
      </c>
      <c r="D139" s="13">
        <v>281</v>
      </c>
      <c r="E139" s="12">
        <v>258115</v>
      </c>
      <c r="F139" s="14">
        <v>7.23</v>
      </c>
      <c r="G139" s="12">
        <v>27393</v>
      </c>
      <c r="H139" s="15">
        <f t="shared" si="4"/>
        <v>1191</v>
      </c>
    </row>
    <row r="140" spans="1:8">
      <c r="A140" s="10">
        <v>45768</v>
      </c>
      <c r="B140" s="11" t="s">
        <v>7</v>
      </c>
      <c r="C140" s="12">
        <v>585</v>
      </c>
      <c r="D140" s="13">
        <v>232</v>
      </c>
      <c r="E140" s="12">
        <v>321258</v>
      </c>
      <c r="F140" s="14">
        <v>7.42</v>
      </c>
      <c r="G140" s="12">
        <v>10343</v>
      </c>
      <c r="H140" s="15">
        <f t="shared" si="4"/>
        <v>353</v>
      </c>
    </row>
    <row r="141" spans="1:8">
      <c r="A141" s="10">
        <v>45768</v>
      </c>
      <c r="B141" s="11" t="s">
        <v>8</v>
      </c>
      <c r="C141" s="12">
        <v>747</v>
      </c>
      <c r="D141" s="13">
        <v>261</v>
      </c>
      <c r="E141" s="12">
        <v>338650</v>
      </c>
      <c r="F141" s="14">
        <v>7.73</v>
      </c>
      <c r="G141" s="12">
        <v>25259</v>
      </c>
      <c r="H141" s="15">
        <f t="shared" si="4"/>
        <v>486</v>
      </c>
    </row>
    <row r="142" spans="1:8">
      <c r="A142" s="10">
        <v>45768</v>
      </c>
      <c r="B142" s="11" t="s">
        <v>9</v>
      </c>
      <c r="C142" s="12">
        <v>1113</v>
      </c>
      <c r="D142" s="13">
        <v>224</v>
      </c>
      <c r="E142" s="12">
        <v>272989</v>
      </c>
      <c r="F142" s="14">
        <v>5.13</v>
      </c>
      <c r="G142" s="12">
        <v>24827</v>
      </c>
      <c r="H142" s="15">
        <f t="shared" si="4"/>
        <v>889</v>
      </c>
    </row>
    <row r="143" spans="1:8">
      <c r="A143" s="10">
        <v>45775</v>
      </c>
      <c r="B143" s="11" t="s">
        <v>7</v>
      </c>
      <c r="C143" s="12">
        <v>1100</v>
      </c>
      <c r="D143" s="13">
        <v>117</v>
      </c>
      <c r="E143" s="12">
        <v>260204</v>
      </c>
      <c r="F143" s="14">
        <v>4.4000000000000004</v>
      </c>
      <c r="G143" s="12">
        <v>11908</v>
      </c>
      <c r="H143" s="15">
        <f t="shared" si="4"/>
        <v>983</v>
      </c>
    </row>
    <row r="144" spans="1:8">
      <c r="A144" s="10">
        <v>45775</v>
      </c>
      <c r="B144" s="11" t="s">
        <v>8</v>
      </c>
      <c r="C144" s="12">
        <v>751</v>
      </c>
      <c r="D144" s="13">
        <v>170</v>
      </c>
      <c r="E144" s="12">
        <v>283278</v>
      </c>
      <c r="F144" s="14">
        <v>3.49</v>
      </c>
      <c r="G144" s="12">
        <v>11005</v>
      </c>
      <c r="H144" s="15">
        <f t="shared" si="4"/>
        <v>581</v>
      </c>
    </row>
    <row r="145" spans="1:8">
      <c r="A145" s="10">
        <v>45775</v>
      </c>
      <c r="B145" s="11" t="s">
        <v>9</v>
      </c>
      <c r="C145" s="12">
        <v>864</v>
      </c>
      <c r="D145" s="13">
        <v>50</v>
      </c>
      <c r="E145" s="12">
        <v>277445</v>
      </c>
      <c r="F145" s="14">
        <v>3.57</v>
      </c>
      <c r="G145" s="12">
        <v>26333</v>
      </c>
      <c r="H145" s="15">
        <f t="shared" si="4"/>
        <v>814</v>
      </c>
    </row>
    <row r="146" spans="1:8">
      <c r="A146" s="10">
        <v>45782</v>
      </c>
      <c r="B146" s="11" t="s">
        <v>7</v>
      </c>
      <c r="C146" s="12">
        <v>1146</v>
      </c>
      <c r="D146" s="13">
        <v>227</v>
      </c>
      <c r="E146" s="12">
        <v>353781</v>
      </c>
      <c r="F146" s="14">
        <v>6.41</v>
      </c>
      <c r="G146" s="12">
        <v>5495</v>
      </c>
      <c r="H146" s="15">
        <f t="shared" si="4"/>
        <v>919</v>
      </c>
    </row>
    <row r="147" spans="1:8">
      <c r="A147" s="10">
        <v>45782</v>
      </c>
      <c r="B147" s="11" t="s">
        <v>8</v>
      </c>
      <c r="C147" s="12">
        <v>883</v>
      </c>
      <c r="D147" s="13">
        <v>207</v>
      </c>
      <c r="E147" s="12">
        <v>265019</v>
      </c>
      <c r="F147" s="14">
        <v>6.04</v>
      </c>
      <c r="G147" s="12">
        <v>15655</v>
      </c>
      <c r="H147" s="15">
        <f t="shared" si="4"/>
        <v>676</v>
      </c>
    </row>
    <row r="148" spans="1:8">
      <c r="A148" s="10">
        <v>45782</v>
      </c>
      <c r="B148" s="11" t="s">
        <v>9</v>
      </c>
      <c r="C148" s="12">
        <v>622</v>
      </c>
      <c r="D148" s="13">
        <v>163</v>
      </c>
      <c r="E148" s="12">
        <v>231925</v>
      </c>
      <c r="F148" s="14">
        <v>9.18</v>
      </c>
      <c r="G148" s="12">
        <v>13763</v>
      </c>
      <c r="H148" s="15">
        <f t="shared" si="4"/>
        <v>459</v>
      </c>
    </row>
    <row r="149" spans="1:8">
      <c r="A149" s="10">
        <v>45789</v>
      </c>
      <c r="B149" s="11" t="s">
        <v>7</v>
      </c>
      <c r="C149" s="12">
        <v>837</v>
      </c>
      <c r="D149" s="13">
        <v>261</v>
      </c>
      <c r="E149" s="12">
        <v>366149</v>
      </c>
      <c r="F149" s="14">
        <v>6.54</v>
      </c>
      <c r="G149" s="12">
        <v>26073</v>
      </c>
      <c r="H149" s="15">
        <f t="shared" si="4"/>
        <v>576</v>
      </c>
    </row>
    <row r="150" spans="1:8">
      <c r="A150" s="10">
        <v>45789</v>
      </c>
      <c r="B150" s="11" t="s">
        <v>8</v>
      </c>
      <c r="C150" s="12">
        <v>544</v>
      </c>
      <c r="D150" s="13">
        <v>97</v>
      </c>
      <c r="E150" s="12">
        <v>168375</v>
      </c>
      <c r="F150" s="14">
        <v>8.66</v>
      </c>
      <c r="G150" s="12">
        <v>12774</v>
      </c>
      <c r="H150" s="15">
        <f t="shared" si="4"/>
        <v>447</v>
      </c>
    </row>
    <row r="151" spans="1:8">
      <c r="A151" s="10">
        <v>45789</v>
      </c>
      <c r="B151" s="11" t="s">
        <v>9</v>
      </c>
      <c r="C151" s="12">
        <v>624</v>
      </c>
      <c r="D151" s="13">
        <v>247</v>
      </c>
      <c r="E151" s="12">
        <v>252763</v>
      </c>
      <c r="F151" s="14">
        <v>3.89</v>
      </c>
      <c r="G151" s="12">
        <v>19000</v>
      </c>
      <c r="H151" s="15">
        <f t="shared" si="4"/>
        <v>377</v>
      </c>
    </row>
    <row r="152" spans="1:8">
      <c r="A152" s="10">
        <v>45796</v>
      </c>
      <c r="B152" s="11" t="s">
        <v>7</v>
      </c>
      <c r="C152" s="12">
        <v>1073</v>
      </c>
      <c r="D152" s="13">
        <v>141</v>
      </c>
      <c r="E152" s="12">
        <v>118393</v>
      </c>
      <c r="F152" s="14">
        <v>7.95</v>
      </c>
      <c r="G152" s="12">
        <v>14051</v>
      </c>
      <c r="H152" s="15">
        <f t="shared" si="4"/>
        <v>932</v>
      </c>
    </row>
    <row r="153" spans="1:8">
      <c r="A153" s="10">
        <v>45796</v>
      </c>
      <c r="B153" s="11" t="s">
        <v>8</v>
      </c>
      <c r="C153" s="12">
        <v>1430</v>
      </c>
      <c r="D153" s="13">
        <v>74</v>
      </c>
      <c r="E153" s="12">
        <v>327012</v>
      </c>
      <c r="F153" s="14">
        <v>6.66</v>
      </c>
      <c r="G153" s="12">
        <v>27782</v>
      </c>
      <c r="H153" s="15">
        <f t="shared" si="4"/>
        <v>1356</v>
      </c>
    </row>
    <row r="154" spans="1:8">
      <c r="A154" s="10">
        <v>45796</v>
      </c>
      <c r="B154" s="11" t="s">
        <v>9</v>
      </c>
      <c r="C154" s="12">
        <v>1358</v>
      </c>
      <c r="D154" s="13">
        <v>77</v>
      </c>
      <c r="E154" s="12">
        <v>169688</v>
      </c>
      <c r="F154" s="14">
        <v>5.25</v>
      </c>
      <c r="G154" s="12">
        <v>7859</v>
      </c>
      <c r="H154" s="15">
        <f t="shared" si="4"/>
        <v>1281</v>
      </c>
    </row>
    <row r="155" spans="1:8">
      <c r="A155" s="10">
        <v>45803</v>
      </c>
      <c r="B155" s="11" t="s">
        <v>7</v>
      </c>
      <c r="C155" s="12">
        <v>1242</v>
      </c>
      <c r="D155" s="13">
        <v>201</v>
      </c>
      <c r="E155" s="12">
        <v>271935</v>
      </c>
      <c r="F155" s="14">
        <v>5.07</v>
      </c>
      <c r="G155" s="12">
        <v>15773</v>
      </c>
      <c r="H155" s="15">
        <f t="shared" si="4"/>
        <v>1041</v>
      </c>
    </row>
    <row r="156" spans="1:8">
      <c r="A156" s="10">
        <v>45803</v>
      </c>
      <c r="B156" s="11" t="s">
        <v>8</v>
      </c>
      <c r="C156" s="12">
        <v>1389</v>
      </c>
      <c r="D156" s="13">
        <v>205</v>
      </c>
      <c r="E156" s="12">
        <v>315981</v>
      </c>
      <c r="F156" s="14">
        <v>7.62</v>
      </c>
      <c r="G156" s="12">
        <v>20595</v>
      </c>
      <c r="H156" s="15">
        <f t="shared" si="4"/>
        <v>1184</v>
      </c>
    </row>
    <row r="157" spans="1:8">
      <c r="A157" s="10">
        <v>45803</v>
      </c>
      <c r="B157" s="11" t="s">
        <v>9</v>
      </c>
      <c r="C157" s="12">
        <v>826</v>
      </c>
      <c r="D157" s="13">
        <v>142</v>
      </c>
      <c r="E157" s="12">
        <v>341016</v>
      </c>
      <c r="F157" s="14">
        <v>7.44</v>
      </c>
      <c r="G157" s="12">
        <v>12031</v>
      </c>
      <c r="H157" s="15">
        <f t="shared" si="4"/>
        <v>684</v>
      </c>
    </row>
    <row r="158" spans="1:8">
      <c r="A158" s="10">
        <v>45810</v>
      </c>
      <c r="B158" s="11" t="s">
        <v>7</v>
      </c>
      <c r="C158" s="12">
        <v>618</v>
      </c>
      <c r="D158" s="13">
        <v>264</v>
      </c>
      <c r="E158" s="12">
        <v>285164</v>
      </c>
      <c r="F158" s="14">
        <v>4.8600000000000003</v>
      </c>
      <c r="G158" s="12">
        <v>15128</v>
      </c>
      <c r="H158" s="15">
        <f t="shared" si="4"/>
        <v>354</v>
      </c>
    </row>
    <row r="159" spans="1:8">
      <c r="A159" s="10">
        <v>45810</v>
      </c>
      <c r="B159" s="11" t="s">
        <v>8</v>
      </c>
      <c r="C159" s="12">
        <v>1419</v>
      </c>
      <c r="D159" s="13">
        <v>293</v>
      </c>
      <c r="E159" s="12">
        <v>116632</v>
      </c>
      <c r="F159" s="14">
        <v>6.93</v>
      </c>
      <c r="G159" s="12">
        <v>11826</v>
      </c>
      <c r="H159" s="15">
        <f t="shared" si="4"/>
        <v>1126</v>
      </c>
    </row>
    <row r="160" spans="1:8">
      <c r="A160" s="10">
        <v>45810</v>
      </c>
      <c r="B160" s="11" t="s">
        <v>9</v>
      </c>
      <c r="C160" s="12">
        <v>637</v>
      </c>
      <c r="D160" s="13">
        <v>68</v>
      </c>
      <c r="E160" s="12">
        <v>115694</v>
      </c>
      <c r="F160" s="14">
        <v>9.99</v>
      </c>
      <c r="G160" s="12">
        <v>12562</v>
      </c>
      <c r="H160" s="15">
        <f t="shared" si="4"/>
        <v>569</v>
      </c>
    </row>
    <row r="161" spans="1:8">
      <c r="A161" s="10">
        <v>45817</v>
      </c>
      <c r="B161" s="11" t="s">
        <v>7</v>
      </c>
      <c r="C161" s="12">
        <v>917</v>
      </c>
      <c r="D161" s="13">
        <v>187</v>
      </c>
      <c r="E161" s="12">
        <v>64444</v>
      </c>
      <c r="F161" s="14">
        <v>5.22</v>
      </c>
      <c r="G161" s="12">
        <v>13013</v>
      </c>
      <c r="H161" s="15">
        <f t="shared" si="4"/>
        <v>730</v>
      </c>
    </row>
    <row r="162" spans="1:8">
      <c r="A162" s="10">
        <v>45817</v>
      </c>
      <c r="B162" s="11" t="s">
        <v>8</v>
      </c>
      <c r="C162" s="12">
        <v>810</v>
      </c>
      <c r="D162" s="13">
        <v>232</v>
      </c>
      <c r="E162" s="12">
        <v>362559</v>
      </c>
      <c r="F162" s="14">
        <v>5.17</v>
      </c>
      <c r="G162" s="12">
        <v>12937</v>
      </c>
      <c r="H162" s="15">
        <f t="shared" si="4"/>
        <v>578</v>
      </c>
    </row>
    <row r="163" spans="1:8">
      <c r="A163" s="10">
        <v>45817</v>
      </c>
      <c r="B163" s="11" t="s">
        <v>9</v>
      </c>
      <c r="C163" s="12">
        <v>1183</v>
      </c>
      <c r="D163" s="13">
        <v>248</v>
      </c>
      <c r="E163" s="12">
        <v>226881</v>
      </c>
      <c r="F163" s="14">
        <v>5.17</v>
      </c>
      <c r="G163" s="12">
        <v>14534</v>
      </c>
      <c r="H163" s="15">
        <f t="shared" si="4"/>
        <v>935</v>
      </c>
    </row>
    <row r="164" spans="1:8">
      <c r="A164" s="10">
        <v>45824</v>
      </c>
      <c r="B164" s="11" t="s">
        <v>7</v>
      </c>
      <c r="C164" s="12">
        <v>765</v>
      </c>
      <c r="D164" s="13">
        <v>67</v>
      </c>
      <c r="E164" s="12">
        <v>283537</v>
      </c>
      <c r="F164" s="14">
        <v>6.18</v>
      </c>
      <c r="G164" s="12">
        <v>8182</v>
      </c>
      <c r="H164" s="15">
        <f t="shared" si="4"/>
        <v>698</v>
      </c>
    </row>
    <row r="165" spans="1:8">
      <c r="A165" s="10">
        <v>45824</v>
      </c>
      <c r="B165" s="11" t="s">
        <v>8</v>
      </c>
      <c r="C165" s="12">
        <v>540</v>
      </c>
      <c r="D165" s="13">
        <v>215</v>
      </c>
      <c r="E165" s="12">
        <v>62837</v>
      </c>
      <c r="F165" s="14">
        <v>5.3</v>
      </c>
      <c r="G165" s="12">
        <v>10615</v>
      </c>
      <c r="H165" s="15">
        <f t="shared" si="4"/>
        <v>325</v>
      </c>
    </row>
    <row r="166" spans="1:8">
      <c r="A166" s="10">
        <v>45824</v>
      </c>
      <c r="B166" s="11" t="s">
        <v>9</v>
      </c>
      <c r="C166" s="12">
        <v>1145</v>
      </c>
      <c r="D166" s="13">
        <v>151</v>
      </c>
      <c r="E166" s="12">
        <v>182759</v>
      </c>
      <c r="F166" s="14">
        <v>5.99</v>
      </c>
      <c r="G166" s="12">
        <v>20109</v>
      </c>
      <c r="H166" s="15">
        <f t="shared" si="4"/>
        <v>994</v>
      </c>
    </row>
    <row r="167" spans="1:8">
      <c r="A167" s="10">
        <v>45831</v>
      </c>
      <c r="B167" s="11" t="s">
        <v>7</v>
      </c>
      <c r="C167" s="12">
        <v>564</v>
      </c>
      <c r="D167" s="13">
        <v>244</v>
      </c>
      <c r="E167" s="12">
        <v>279405</v>
      </c>
      <c r="F167" s="14">
        <v>8.43</v>
      </c>
      <c r="G167" s="12">
        <v>26024</v>
      </c>
      <c r="H167" s="15">
        <f t="shared" si="4"/>
        <v>320</v>
      </c>
    </row>
    <row r="168" spans="1:8">
      <c r="A168" s="10">
        <v>45831</v>
      </c>
      <c r="B168" s="11" t="s">
        <v>8</v>
      </c>
      <c r="C168" s="12">
        <v>668</v>
      </c>
      <c r="D168" s="13">
        <v>124</v>
      </c>
      <c r="E168" s="12">
        <v>257485</v>
      </c>
      <c r="F168" s="14">
        <v>7.55</v>
      </c>
      <c r="G168" s="12">
        <v>26730</v>
      </c>
      <c r="H168" s="15">
        <f t="shared" si="4"/>
        <v>544</v>
      </c>
    </row>
    <row r="169" spans="1:8">
      <c r="A169" s="10">
        <v>45831</v>
      </c>
      <c r="B169" s="11" t="s">
        <v>9</v>
      </c>
      <c r="C169" s="12">
        <v>761</v>
      </c>
      <c r="D169" s="13">
        <v>241</v>
      </c>
      <c r="E169" s="12">
        <v>154977</v>
      </c>
      <c r="F169" s="14">
        <v>5.63</v>
      </c>
      <c r="G169" s="12">
        <v>10563</v>
      </c>
      <c r="H169" s="15">
        <f t="shared" si="4"/>
        <v>520</v>
      </c>
    </row>
    <row r="170" spans="1:8">
      <c r="A170" s="10">
        <v>45838</v>
      </c>
      <c r="B170" s="11" t="s">
        <v>7</v>
      </c>
      <c r="C170" s="12">
        <v>593</v>
      </c>
      <c r="D170" s="13">
        <v>108</v>
      </c>
      <c r="E170" s="12">
        <v>216500</v>
      </c>
      <c r="F170" s="14">
        <v>4.71</v>
      </c>
      <c r="G170" s="12">
        <v>27575</v>
      </c>
      <c r="H170" s="15">
        <f t="shared" si="4"/>
        <v>485</v>
      </c>
    </row>
    <row r="171" spans="1:8">
      <c r="A171" s="10">
        <v>45838</v>
      </c>
      <c r="B171" s="11" t="s">
        <v>8</v>
      </c>
      <c r="C171" s="12">
        <v>1349</v>
      </c>
      <c r="D171" s="13">
        <v>115</v>
      </c>
      <c r="E171" s="12">
        <v>102102</v>
      </c>
      <c r="F171" s="14">
        <v>5.28</v>
      </c>
      <c r="G171" s="12">
        <v>14479</v>
      </c>
      <c r="H171" s="15">
        <f t="shared" si="4"/>
        <v>1234</v>
      </c>
    </row>
    <row r="172" spans="1:8">
      <c r="A172" s="10">
        <v>45838</v>
      </c>
      <c r="B172" s="11" t="s">
        <v>9</v>
      </c>
      <c r="C172" s="12">
        <v>693</v>
      </c>
      <c r="D172" s="13">
        <v>97</v>
      </c>
      <c r="E172" s="12">
        <v>92025</v>
      </c>
      <c r="F172" s="14">
        <v>5.95</v>
      </c>
      <c r="G172" s="12">
        <v>15915</v>
      </c>
      <c r="H172" s="15">
        <f t="shared" si="4"/>
        <v>596</v>
      </c>
    </row>
    <row r="173" spans="1:8">
      <c r="A173" s="10">
        <v>45845</v>
      </c>
      <c r="B173" s="11" t="s">
        <v>7</v>
      </c>
      <c r="C173" s="12">
        <v>974</v>
      </c>
      <c r="D173" s="13">
        <v>143</v>
      </c>
      <c r="E173" s="12">
        <v>247965</v>
      </c>
      <c r="F173" s="14">
        <v>9.98</v>
      </c>
      <c r="G173" s="12">
        <v>12767</v>
      </c>
      <c r="H173" s="15">
        <f t="shared" si="4"/>
        <v>831</v>
      </c>
    </row>
    <row r="174" spans="1:8">
      <c r="A174" s="10">
        <v>45845</v>
      </c>
      <c r="B174" s="11" t="s">
        <v>8</v>
      </c>
      <c r="C174" s="12">
        <v>1155</v>
      </c>
      <c r="D174" s="13">
        <v>122</v>
      </c>
      <c r="E174" s="12">
        <v>387352</v>
      </c>
      <c r="F174" s="14">
        <v>9.93</v>
      </c>
      <c r="G174" s="12">
        <v>12170</v>
      </c>
      <c r="H174" s="15">
        <f t="shared" si="4"/>
        <v>1033</v>
      </c>
    </row>
    <row r="175" spans="1:8">
      <c r="A175" s="10">
        <v>45845</v>
      </c>
      <c r="B175" s="11" t="s">
        <v>9</v>
      </c>
      <c r="C175" s="12">
        <v>1051</v>
      </c>
      <c r="D175" s="13">
        <v>246</v>
      </c>
      <c r="E175" s="12">
        <v>253985</v>
      </c>
      <c r="F175" s="14">
        <v>9.08</v>
      </c>
      <c r="G175" s="12">
        <v>7245</v>
      </c>
      <c r="H175" s="15">
        <f t="shared" si="4"/>
        <v>805</v>
      </c>
    </row>
    <row r="176" spans="1:8">
      <c r="A176" s="10">
        <v>45852</v>
      </c>
      <c r="B176" s="11" t="s">
        <v>7</v>
      </c>
      <c r="C176" s="12">
        <v>1457</v>
      </c>
      <c r="D176" s="13">
        <v>183</v>
      </c>
      <c r="E176" s="12">
        <v>129640</v>
      </c>
      <c r="F176" s="14">
        <v>7.98</v>
      </c>
      <c r="G176" s="12">
        <v>12985</v>
      </c>
      <c r="H176" s="15">
        <f t="shared" si="4"/>
        <v>1274</v>
      </c>
    </row>
    <row r="177" spans="1:8">
      <c r="A177" s="10">
        <v>45852</v>
      </c>
      <c r="B177" s="11" t="s">
        <v>8</v>
      </c>
      <c r="C177" s="12">
        <v>670</v>
      </c>
      <c r="D177" s="13">
        <v>242</v>
      </c>
      <c r="E177" s="12">
        <v>281913</v>
      </c>
      <c r="F177" s="14">
        <v>9.6199999999999992</v>
      </c>
      <c r="G177" s="12">
        <v>16377</v>
      </c>
      <c r="H177" s="15">
        <f t="shared" si="4"/>
        <v>428</v>
      </c>
    </row>
    <row r="178" spans="1:8">
      <c r="A178" s="10">
        <v>45852</v>
      </c>
      <c r="B178" s="11" t="s">
        <v>9</v>
      </c>
      <c r="C178" s="12">
        <v>1111</v>
      </c>
      <c r="D178" s="13">
        <v>159</v>
      </c>
      <c r="E178" s="12">
        <v>360770</v>
      </c>
      <c r="F178" s="14">
        <v>8.7100000000000009</v>
      </c>
      <c r="G178" s="12">
        <v>11453</v>
      </c>
      <c r="H178" s="15">
        <f t="shared" si="4"/>
        <v>952</v>
      </c>
    </row>
    <row r="179" spans="1:8">
      <c r="A179" s="10">
        <v>45859</v>
      </c>
      <c r="B179" s="11" t="s">
        <v>7</v>
      </c>
      <c r="C179" s="12">
        <v>1197</v>
      </c>
      <c r="D179" s="13">
        <v>246</v>
      </c>
      <c r="E179" s="12">
        <v>127273</v>
      </c>
      <c r="F179" s="14">
        <v>6.69</v>
      </c>
      <c r="G179" s="12">
        <v>12323</v>
      </c>
      <c r="H179" s="15">
        <f t="shared" si="4"/>
        <v>951</v>
      </c>
    </row>
    <row r="180" spans="1:8">
      <c r="A180" s="10">
        <v>45859</v>
      </c>
      <c r="B180" s="11" t="s">
        <v>8</v>
      </c>
      <c r="C180" s="12">
        <v>754</v>
      </c>
      <c r="D180" s="13">
        <v>150</v>
      </c>
      <c r="E180" s="12">
        <v>189622</v>
      </c>
      <c r="F180" s="14">
        <v>4.25</v>
      </c>
      <c r="G180" s="12">
        <v>11911</v>
      </c>
      <c r="H180" s="15">
        <f t="shared" si="4"/>
        <v>604</v>
      </c>
    </row>
    <row r="181" spans="1:8">
      <c r="A181" s="10">
        <v>45859</v>
      </c>
      <c r="B181" s="11" t="s">
        <v>9</v>
      </c>
      <c r="C181" s="12">
        <v>1246</v>
      </c>
      <c r="D181" s="13">
        <v>107</v>
      </c>
      <c r="E181" s="12">
        <v>350949</v>
      </c>
      <c r="F181" s="14">
        <v>4.9800000000000004</v>
      </c>
      <c r="G181" s="12">
        <v>27809</v>
      </c>
      <c r="H181" s="15">
        <f t="shared" si="4"/>
        <v>1139</v>
      </c>
    </row>
    <row r="182" spans="1:8">
      <c r="A182" s="10">
        <v>45866</v>
      </c>
      <c r="B182" s="11" t="s">
        <v>7</v>
      </c>
      <c r="C182" s="12">
        <v>780</v>
      </c>
      <c r="D182" s="13">
        <v>213</v>
      </c>
      <c r="E182" s="12">
        <v>121431</v>
      </c>
      <c r="F182" s="14">
        <v>4.97</v>
      </c>
      <c r="G182" s="12">
        <v>21464</v>
      </c>
      <c r="H182" s="15">
        <f t="shared" si="4"/>
        <v>567</v>
      </c>
    </row>
    <row r="183" spans="1:8">
      <c r="A183" s="10">
        <v>45866</v>
      </c>
      <c r="B183" s="11" t="s">
        <v>8</v>
      </c>
      <c r="C183" s="12">
        <v>1425</v>
      </c>
      <c r="D183" s="13">
        <v>143</v>
      </c>
      <c r="E183" s="12">
        <v>116742</v>
      </c>
      <c r="F183" s="14">
        <v>3.71</v>
      </c>
      <c r="G183" s="12">
        <v>27126</v>
      </c>
      <c r="H183" s="15">
        <f t="shared" si="4"/>
        <v>1282</v>
      </c>
    </row>
    <row r="184" spans="1:8">
      <c r="A184" s="10">
        <v>45866</v>
      </c>
      <c r="B184" s="11" t="s">
        <v>9</v>
      </c>
      <c r="C184" s="12">
        <v>1490</v>
      </c>
      <c r="D184" s="13">
        <v>103</v>
      </c>
      <c r="E184" s="12">
        <v>81184</v>
      </c>
      <c r="F184" s="14">
        <v>7.79</v>
      </c>
      <c r="G184" s="12">
        <v>10681</v>
      </c>
      <c r="H184" s="15">
        <f t="shared" si="4"/>
        <v>1387</v>
      </c>
    </row>
    <row r="185" spans="1:8">
      <c r="A185" s="10">
        <v>45873</v>
      </c>
      <c r="B185" s="11" t="s">
        <v>7</v>
      </c>
      <c r="C185" s="12">
        <v>949</v>
      </c>
      <c r="D185" s="13">
        <v>282</v>
      </c>
      <c r="E185" s="12">
        <v>87126</v>
      </c>
      <c r="F185" s="14">
        <v>4.96</v>
      </c>
      <c r="G185" s="12">
        <v>5413</v>
      </c>
      <c r="H185" s="15">
        <f t="shared" si="4"/>
        <v>667</v>
      </c>
    </row>
    <row r="186" spans="1:8">
      <c r="A186" s="10">
        <v>45873</v>
      </c>
      <c r="B186" s="11" t="s">
        <v>8</v>
      </c>
      <c r="C186" s="12">
        <v>640</v>
      </c>
      <c r="D186" s="13">
        <v>141</v>
      </c>
      <c r="E186" s="12">
        <v>267546</v>
      </c>
      <c r="F186" s="14">
        <v>8.58</v>
      </c>
      <c r="G186" s="12">
        <v>25058</v>
      </c>
      <c r="H186" s="15">
        <f t="shared" si="4"/>
        <v>499</v>
      </c>
    </row>
    <row r="187" spans="1:8">
      <c r="A187" s="10">
        <v>45873</v>
      </c>
      <c r="B187" s="11" t="s">
        <v>9</v>
      </c>
      <c r="C187" s="12">
        <v>616</v>
      </c>
      <c r="D187" s="13">
        <v>93</v>
      </c>
      <c r="E187" s="12">
        <v>133082</v>
      </c>
      <c r="F187" s="14">
        <v>8.51</v>
      </c>
      <c r="G187" s="12">
        <v>18303</v>
      </c>
      <c r="H187" s="15">
        <f t="shared" si="4"/>
        <v>523</v>
      </c>
    </row>
    <row r="188" spans="1:8">
      <c r="A188" s="10">
        <v>45880</v>
      </c>
      <c r="B188" s="11" t="s">
        <v>7</v>
      </c>
      <c r="C188" s="12">
        <v>1080</v>
      </c>
      <c r="D188" s="13">
        <v>184</v>
      </c>
      <c r="E188" s="12">
        <v>340557</v>
      </c>
      <c r="F188" s="14">
        <v>5.41</v>
      </c>
      <c r="G188" s="12">
        <v>5526</v>
      </c>
      <c r="H188" s="15">
        <f t="shared" si="4"/>
        <v>896</v>
      </c>
    </row>
    <row r="189" spans="1:8">
      <c r="A189" s="10">
        <v>45880</v>
      </c>
      <c r="B189" s="11" t="s">
        <v>8</v>
      </c>
      <c r="C189" s="12">
        <v>938</v>
      </c>
      <c r="D189" s="13">
        <v>236</v>
      </c>
      <c r="E189" s="12">
        <v>116472</v>
      </c>
      <c r="F189" s="14">
        <v>8.7200000000000006</v>
      </c>
      <c r="G189" s="12">
        <v>17460</v>
      </c>
      <c r="H189" s="15">
        <f t="shared" si="4"/>
        <v>702</v>
      </c>
    </row>
    <row r="190" spans="1:8">
      <c r="A190" s="10">
        <v>45880</v>
      </c>
      <c r="B190" s="11" t="s">
        <v>9</v>
      </c>
      <c r="C190" s="12">
        <v>1007</v>
      </c>
      <c r="D190" s="13">
        <v>258</v>
      </c>
      <c r="E190" s="12">
        <v>113412</v>
      </c>
      <c r="F190" s="14">
        <v>7.71</v>
      </c>
      <c r="G190" s="12">
        <v>14475</v>
      </c>
      <c r="H190" s="15">
        <f t="shared" si="4"/>
        <v>749</v>
      </c>
    </row>
    <row r="191" spans="1:8">
      <c r="A191" s="10">
        <v>45887</v>
      </c>
      <c r="B191" s="11" t="s">
        <v>7</v>
      </c>
      <c r="C191" s="12">
        <v>541</v>
      </c>
      <c r="D191" s="13">
        <v>208</v>
      </c>
      <c r="E191" s="12">
        <v>157547</v>
      </c>
      <c r="F191" s="14">
        <v>8.35</v>
      </c>
      <c r="G191" s="12">
        <v>20162</v>
      </c>
      <c r="H191" s="15">
        <f t="shared" si="4"/>
        <v>333</v>
      </c>
    </row>
    <row r="192" spans="1:8">
      <c r="A192" s="10">
        <v>45887</v>
      </c>
      <c r="B192" s="11" t="s">
        <v>8</v>
      </c>
      <c r="C192" s="12">
        <v>745</v>
      </c>
      <c r="D192" s="13">
        <v>98</v>
      </c>
      <c r="E192" s="12">
        <v>354816</v>
      </c>
      <c r="F192" s="14">
        <v>4.03</v>
      </c>
      <c r="G192" s="12">
        <v>17103</v>
      </c>
      <c r="H192" s="15">
        <f t="shared" si="4"/>
        <v>647</v>
      </c>
    </row>
    <row r="193" spans="1:8">
      <c r="A193" s="10">
        <v>45887</v>
      </c>
      <c r="B193" s="11" t="s">
        <v>9</v>
      </c>
      <c r="C193" s="12">
        <v>936</v>
      </c>
      <c r="D193" s="13">
        <v>97</v>
      </c>
      <c r="E193" s="12">
        <v>151799</v>
      </c>
      <c r="F193" s="14">
        <v>9.3699999999999992</v>
      </c>
      <c r="G193" s="12">
        <v>15461</v>
      </c>
      <c r="H193" s="15">
        <f t="shared" si="4"/>
        <v>839</v>
      </c>
    </row>
    <row r="194" spans="1:8">
      <c r="A194" s="10">
        <v>45894</v>
      </c>
      <c r="B194" s="11" t="s">
        <v>7</v>
      </c>
      <c r="C194" s="12">
        <v>1183</v>
      </c>
      <c r="D194" s="13">
        <v>223</v>
      </c>
      <c r="E194" s="12">
        <v>143811</v>
      </c>
      <c r="F194" s="14">
        <v>6.07</v>
      </c>
      <c r="G194" s="12">
        <v>22103</v>
      </c>
      <c r="H194" s="15">
        <f t="shared" si="4"/>
        <v>960</v>
      </c>
    </row>
    <row r="195" spans="1:8">
      <c r="A195" s="10">
        <v>45894</v>
      </c>
      <c r="B195" s="11" t="s">
        <v>8</v>
      </c>
      <c r="C195" s="12">
        <v>1413</v>
      </c>
      <c r="D195" s="13">
        <v>245</v>
      </c>
      <c r="E195" s="12">
        <v>296450</v>
      </c>
      <c r="F195" s="14">
        <v>6.52</v>
      </c>
      <c r="G195" s="12">
        <v>11625</v>
      </c>
      <c r="H195" s="15">
        <f t="shared" ref="H195:H201" si="5">C195-D195</f>
        <v>1168</v>
      </c>
    </row>
    <row r="196" spans="1:8">
      <c r="A196" s="10">
        <v>45894</v>
      </c>
      <c r="B196" s="11" t="s">
        <v>9</v>
      </c>
      <c r="C196" s="12">
        <v>791</v>
      </c>
      <c r="D196" s="13">
        <v>273</v>
      </c>
      <c r="E196" s="12">
        <v>144049</v>
      </c>
      <c r="F196" s="14">
        <v>3.08</v>
      </c>
      <c r="G196" s="12">
        <v>5281</v>
      </c>
      <c r="H196" s="15">
        <f t="shared" si="5"/>
        <v>518</v>
      </c>
    </row>
    <row r="197" spans="1:8">
      <c r="A197" s="10">
        <v>45901</v>
      </c>
      <c r="B197" s="11" t="s">
        <v>7</v>
      </c>
      <c r="C197" s="12">
        <v>1052</v>
      </c>
      <c r="D197" s="13">
        <v>180</v>
      </c>
      <c r="E197" s="12">
        <v>272534</v>
      </c>
      <c r="F197" s="14">
        <v>5.34</v>
      </c>
      <c r="G197" s="12">
        <v>13424</v>
      </c>
      <c r="H197" s="15">
        <f t="shared" si="5"/>
        <v>872</v>
      </c>
    </row>
    <row r="198" spans="1:8">
      <c r="A198" s="10">
        <v>45901</v>
      </c>
      <c r="B198" s="11" t="s">
        <v>8</v>
      </c>
      <c r="C198" s="12">
        <v>572</v>
      </c>
      <c r="D198" s="13">
        <v>270</v>
      </c>
      <c r="E198" s="12">
        <v>82265</v>
      </c>
      <c r="F198" s="14">
        <v>3.65</v>
      </c>
      <c r="G198" s="12">
        <v>13140</v>
      </c>
      <c r="H198" s="15">
        <f t="shared" si="5"/>
        <v>302</v>
      </c>
    </row>
    <row r="199" spans="1:8">
      <c r="A199" s="10">
        <v>45901</v>
      </c>
      <c r="B199" s="11" t="s">
        <v>9</v>
      </c>
      <c r="C199" s="12">
        <v>503</v>
      </c>
      <c r="D199" s="13">
        <v>253</v>
      </c>
      <c r="E199" s="12">
        <v>313562</v>
      </c>
      <c r="F199" s="14">
        <v>4.18</v>
      </c>
      <c r="G199" s="12">
        <v>19538</v>
      </c>
      <c r="H199" s="15">
        <f t="shared" si="5"/>
        <v>250</v>
      </c>
    </row>
    <row r="200" spans="1:8">
      <c r="A200" s="10">
        <v>45908</v>
      </c>
      <c r="B200" s="11" t="s">
        <v>7</v>
      </c>
      <c r="C200" s="12">
        <v>1017</v>
      </c>
      <c r="D200" s="13">
        <v>197</v>
      </c>
      <c r="E200" s="12">
        <v>89918</v>
      </c>
      <c r="F200" s="14">
        <v>3.91</v>
      </c>
      <c r="G200" s="12">
        <v>7881</v>
      </c>
      <c r="H200" s="15">
        <f t="shared" si="5"/>
        <v>820</v>
      </c>
    </row>
    <row r="201" spans="1:8">
      <c r="A201" s="10">
        <v>45908</v>
      </c>
      <c r="B201" s="11" t="s">
        <v>8</v>
      </c>
      <c r="C201" s="12">
        <v>860</v>
      </c>
      <c r="D201" s="13">
        <v>244</v>
      </c>
      <c r="E201" s="12">
        <v>348686</v>
      </c>
      <c r="F201" s="14">
        <v>5.12</v>
      </c>
      <c r="G201" s="12">
        <v>11418</v>
      </c>
      <c r="H201" s="15">
        <f t="shared" si="5"/>
        <v>616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weekly_net_gain</vt:lpstr>
      <vt:lpstr>Moving average chart</vt:lpstr>
      <vt:lpstr>Correlation ana;ysis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biswal</dc:creator>
  <cp:lastModifiedBy>aditya biswal</cp:lastModifiedBy>
  <dcterms:created xsi:type="dcterms:W3CDTF">2026-02-17T17:59:21Z</dcterms:created>
  <dcterms:modified xsi:type="dcterms:W3CDTF">2026-02-20T17:33:37Z</dcterms:modified>
</cp:coreProperties>
</file>